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thepson\OneDrive\TRABALHO\OUTROS\Documentos\JOAO MARCELO\JUAZEIRO DO NORTE\2024\"/>
    </mc:Choice>
  </mc:AlternateContent>
  <bookViews>
    <workbookView xWindow="-120" yWindow="-120" windowWidth="29040" windowHeight="15720"/>
  </bookViews>
  <sheets>
    <sheet name="R2055 - Aquisição Prod Rural" sheetId="1" r:id="rId1"/>
    <sheet name="dados" sheetId="2" r:id="rId2"/>
  </sheets>
  <externalReferences>
    <externalReference r:id="rId3"/>
  </externalReferences>
  <definedNames>
    <definedName name="_xlnm._FilterDatabase" localSheetId="0" hidden="1">'R2055 - Aquisição Prod Rural'!$A$1:$J$361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G361" i="1"/>
  <c r="D361" i="1"/>
  <c r="C361" i="1"/>
  <c r="A361" i="1"/>
  <c r="G360" i="1"/>
  <c r="D360" i="1"/>
  <c r="C360" i="1"/>
  <c r="A360" i="1"/>
  <c r="G359" i="1"/>
  <c r="D359" i="1"/>
  <c r="C359" i="1"/>
  <c r="A359" i="1"/>
  <c r="G358" i="1"/>
  <c r="D358" i="1"/>
  <c r="C358" i="1"/>
  <c r="A358" i="1"/>
  <c r="G357" i="1"/>
  <c r="D357" i="1"/>
  <c r="C357" i="1"/>
  <c r="A357" i="1"/>
  <c r="G356" i="1"/>
  <c r="D356" i="1"/>
  <c r="C356" i="1"/>
  <c r="A356" i="1"/>
  <c r="G355" i="1"/>
  <c r="D355" i="1"/>
  <c r="C355" i="1"/>
  <c r="A355" i="1"/>
  <c r="G354" i="1"/>
  <c r="D354" i="1"/>
  <c r="C354" i="1"/>
  <c r="A354" i="1"/>
  <c r="G353" i="1"/>
  <c r="D353" i="1"/>
  <c r="C353" i="1"/>
  <c r="A353" i="1"/>
  <c r="G352" i="1"/>
  <c r="D352" i="1"/>
  <c r="C352" i="1"/>
  <c r="A352" i="1"/>
  <c r="G351" i="1"/>
  <c r="D351" i="1"/>
  <c r="C351" i="1"/>
  <c r="A351" i="1"/>
  <c r="G350" i="1"/>
  <c r="D350" i="1"/>
  <c r="C350" i="1"/>
  <c r="A350" i="1"/>
  <c r="G349" i="1"/>
  <c r="D349" i="1"/>
  <c r="C349" i="1"/>
  <c r="A349" i="1"/>
  <c r="G348" i="1"/>
  <c r="D348" i="1"/>
  <c r="C348" i="1"/>
  <c r="A348" i="1"/>
  <c r="G347" i="1"/>
  <c r="D347" i="1"/>
  <c r="C347" i="1"/>
  <c r="A347" i="1"/>
  <c r="G346" i="1"/>
  <c r="D346" i="1"/>
  <c r="C346" i="1"/>
  <c r="A346" i="1"/>
  <c r="G345" i="1"/>
  <c r="D345" i="1"/>
  <c r="C345" i="1"/>
  <c r="A345" i="1"/>
  <c r="G344" i="1"/>
  <c r="D344" i="1"/>
  <c r="C344" i="1"/>
  <c r="A344" i="1"/>
  <c r="G343" i="1"/>
  <c r="D343" i="1"/>
  <c r="C343" i="1"/>
  <c r="A343" i="1"/>
  <c r="G342" i="1"/>
  <c r="D342" i="1"/>
  <c r="C342" i="1"/>
  <c r="A342" i="1"/>
  <c r="G341" i="1"/>
  <c r="D341" i="1"/>
  <c r="C341" i="1"/>
  <c r="A341" i="1"/>
  <c r="G340" i="1"/>
  <c r="D340" i="1"/>
  <c r="C340" i="1"/>
  <c r="A340" i="1"/>
  <c r="G339" i="1"/>
  <c r="D339" i="1"/>
  <c r="C339" i="1"/>
  <c r="A339" i="1"/>
  <c r="G338" i="1"/>
  <c r="D338" i="1"/>
  <c r="C338" i="1"/>
  <c r="A338" i="1"/>
  <c r="G337" i="1"/>
  <c r="D337" i="1"/>
  <c r="C337" i="1"/>
  <c r="A337" i="1"/>
  <c r="G336" i="1"/>
  <c r="D336" i="1"/>
  <c r="C336" i="1"/>
  <c r="A336" i="1"/>
  <c r="G335" i="1"/>
  <c r="D335" i="1"/>
  <c r="C335" i="1"/>
  <c r="A335" i="1"/>
  <c r="G334" i="1"/>
  <c r="D334" i="1"/>
  <c r="C334" i="1"/>
  <c r="A334" i="1"/>
  <c r="G333" i="1"/>
  <c r="D333" i="1"/>
  <c r="C333" i="1"/>
  <c r="A333" i="1"/>
  <c r="G332" i="1"/>
  <c r="D332" i="1"/>
  <c r="C332" i="1"/>
  <c r="A332" i="1"/>
  <c r="G331" i="1"/>
  <c r="D331" i="1"/>
  <c r="C331" i="1"/>
  <c r="A331" i="1"/>
  <c r="G330" i="1"/>
  <c r="D330" i="1"/>
  <c r="C330" i="1"/>
  <c r="A330" i="1"/>
  <c r="G329" i="1"/>
  <c r="D329" i="1"/>
  <c r="C329" i="1"/>
  <c r="A329" i="1"/>
  <c r="G328" i="1"/>
  <c r="D328" i="1"/>
  <c r="C328" i="1"/>
  <c r="A328" i="1"/>
  <c r="G327" i="1"/>
  <c r="D327" i="1"/>
  <c r="C327" i="1"/>
  <c r="A327" i="1"/>
  <c r="G326" i="1"/>
  <c r="D326" i="1"/>
  <c r="C326" i="1"/>
  <c r="A326" i="1"/>
  <c r="G325" i="1"/>
  <c r="D325" i="1"/>
  <c r="C325" i="1"/>
  <c r="A325" i="1"/>
  <c r="G324" i="1"/>
  <c r="D324" i="1"/>
  <c r="C324" i="1"/>
  <c r="A324" i="1"/>
  <c r="G323" i="1"/>
  <c r="D323" i="1"/>
  <c r="C323" i="1"/>
  <c r="A323" i="1"/>
  <c r="G322" i="1"/>
  <c r="D322" i="1"/>
  <c r="C322" i="1"/>
  <c r="A322" i="1"/>
  <c r="G321" i="1"/>
  <c r="D321" i="1"/>
  <c r="C321" i="1"/>
  <c r="A321" i="1"/>
  <c r="G320" i="1"/>
  <c r="D320" i="1"/>
  <c r="C320" i="1"/>
  <c r="A320" i="1"/>
  <c r="G319" i="1"/>
  <c r="D319" i="1"/>
  <c r="C319" i="1"/>
  <c r="A319" i="1"/>
  <c r="G318" i="1"/>
  <c r="D318" i="1"/>
  <c r="C318" i="1"/>
  <c r="A318" i="1"/>
  <c r="G317" i="1"/>
  <c r="D317" i="1"/>
  <c r="C317" i="1"/>
  <c r="A317" i="1"/>
  <c r="G316" i="1"/>
  <c r="D316" i="1"/>
  <c r="C316" i="1"/>
  <c r="A316" i="1"/>
  <c r="G315" i="1"/>
  <c r="D315" i="1"/>
  <c r="C315" i="1"/>
  <c r="A315" i="1"/>
  <c r="G314" i="1"/>
  <c r="D314" i="1"/>
  <c r="C314" i="1"/>
  <c r="A314" i="1"/>
  <c r="G313" i="1"/>
  <c r="D313" i="1"/>
  <c r="C313" i="1"/>
  <c r="A313" i="1"/>
  <c r="G312" i="1"/>
  <c r="D312" i="1"/>
  <c r="C312" i="1"/>
  <c r="A312" i="1"/>
  <c r="G311" i="1"/>
  <c r="D311" i="1"/>
  <c r="C311" i="1"/>
  <c r="A311" i="1"/>
  <c r="G310" i="1"/>
  <c r="D310" i="1"/>
  <c r="C310" i="1"/>
  <c r="A310" i="1"/>
  <c r="G309" i="1"/>
  <c r="D309" i="1"/>
  <c r="C309" i="1"/>
  <c r="A309" i="1"/>
  <c r="G308" i="1"/>
  <c r="D308" i="1"/>
  <c r="C308" i="1"/>
  <c r="A308" i="1"/>
  <c r="G307" i="1"/>
  <c r="D307" i="1"/>
  <c r="C307" i="1"/>
  <c r="A307" i="1"/>
  <c r="G306" i="1"/>
  <c r="D306" i="1"/>
  <c r="C306" i="1"/>
  <c r="A306" i="1"/>
  <c r="G305" i="1"/>
  <c r="D305" i="1"/>
  <c r="C305" i="1"/>
  <c r="A305" i="1"/>
  <c r="G304" i="1"/>
  <c r="D304" i="1"/>
  <c r="C304" i="1"/>
  <c r="A304" i="1"/>
  <c r="G303" i="1"/>
  <c r="D303" i="1"/>
  <c r="C303" i="1"/>
  <c r="A303" i="1"/>
  <c r="G302" i="1"/>
  <c r="D302" i="1"/>
  <c r="C302" i="1"/>
  <c r="A302" i="1"/>
  <c r="G301" i="1"/>
  <c r="D301" i="1"/>
  <c r="C301" i="1"/>
  <c r="A301" i="1"/>
  <c r="G300" i="1"/>
  <c r="D300" i="1"/>
  <c r="C300" i="1"/>
  <c r="A300" i="1"/>
  <c r="G299" i="1"/>
  <c r="D299" i="1"/>
  <c r="C299" i="1"/>
  <c r="A299" i="1"/>
  <c r="G298" i="1"/>
  <c r="D298" i="1"/>
  <c r="C298" i="1"/>
  <c r="A298" i="1"/>
  <c r="G297" i="1"/>
  <c r="D297" i="1"/>
  <c r="C297" i="1"/>
  <c r="A297" i="1"/>
  <c r="G296" i="1"/>
  <c r="D296" i="1"/>
  <c r="C296" i="1"/>
  <c r="A296" i="1"/>
  <c r="G295" i="1"/>
  <c r="D295" i="1"/>
  <c r="C295" i="1"/>
  <c r="A295" i="1"/>
  <c r="G294" i="1"/>
  <c r="D294" i="1"/>
  <c r="C294" i="1"/>
  <c r="A294" i="1"/>
  <c r="G293" i="1"/>
  <c r="D293" i="1"/>
  <c r="C293" i="1"/>
  <c r="A293" i="1"/>
  <c r="G292" i="1"/>
  <c r="D292" i="1"/>
  <c r="C292" i="1"/>
  <c r="A292" i="1"/>
  <c r="G291" i="1"/>
  <c r="D291" i="1"/>
  <c r="C291" i="1"/>
  <c r="A291" i="1"/>
  <c r="G290" i="1"/>
  <c r="D290" i="1"/>
  <c r="C290" i="1"/>
  <c r="A290" i="1"/>
  <c r="G289" i="1"/>
  <c r="D289" i="1"/>
  <c r="C289" i="1"/>
  <c r="A289" i="1"/>
  <c r="G288" i="1"/>
  <c r="D288" i="1"/>
  <c r="C288" i="1"/>
  <c r="A288" i="1"/>
  <c r="G287" i="1"/>
  <c r="D287" i="1"/>
  <c r="C287" i="1"/>
  <c r="A287" i="1"/>
  <c r="G286" i="1"/>
  <c r="D286" i="1"/>
  <c r="C286" i="1"/>
  <c r="A286" i="1"/>
  <c r="G285" i="1"/>
  <c r="D285" i="1"/>
  <c r="C285" i="1"/>
  <c r="A285" i="1"/>
  <c r="G284" i="1"/>
  <c r="D284" i="1"/>
  <c r="C284" i="1"/>
  <c r="A284" i="1"/>
  <c r="G283" i="1"/>
  <c r="D283" i="1"/>
  <c r="C283" i="1"/>
  <c r="A283" i="1"/>
  <c r="G282" i="1"/>
  <c r="D282" i="1"/>
  <c r="C282" i="1"/>
  <c r="A282" i="1"/>
  <c r="G281" i="1"/>
  <c r="D281" i="1"/>
  <c r="C281" i="1"/>
  <c r="A281" i="1"/>
  <c r="G280" i="1"/>
  <c r="D280" i="1"/>
  <c r="C280" i="1"/>
  <c r="A280" i="1"/>
  <c r="G279" i="1"/>
  <c r="D279" i="1"/>
  <c r="C279" i="1"/>
  <c r="A279" i="1"/>
  <c r="G278" i="1"/>
  <c r="D278" i="1"/>
  <c r="C278" i="1"/>
  <c r="A278" i="1"/>
  <c r="G277" i="1"/>
  <c r="D277" i="1"/>
  <c r="C277" i="1"/>
  <c r="A277" i="1"/>
  <c r="G276" i="1"/>
  <c r="D276" i="1"/>
  <c r="C276" i="1"/>
  <c r="A276" i="1"/>
  <c r="G275" i="1"/>
  <c r="D275" i="1"/>
  <c r="C275" i="1"/>
  <c r="A275" i="1"/>
  <c r="G274" i="1"/>
  <c r="D274" i="1"/>
  <c r="C274" i="1"/>
  <c r="A274" i="1"/>
  <c r="G273" i="1"/>
  <c r="D273" i="1"/>
  <c r="C273" i="1"/>
  <c r="A273" i="1"/>
  <c r="G272" i="1"/>
  <c r="D272" i="1"/>
  <c r="C272" i="1"/>
  <c r="A272" i="1"/>
  <c r="G271" i="1"/>
  <c r="D271" i="1"/>
  <c r="C271" i="1"/>
  <c r="A271" i="1"/>
  <c r="G270" i="1"/>
  <c r="D270" i="1"/>
  <c r="C270" i="1"/>
  <c r="A270" i="1"/>
  <c r="G269" i="1"/>
  <c r="D269" i="1"/>
  <c r="C269" i="1"/>
  <c r="A269" i="1"/>
  <c r="G268" i="1"/>
  <c r="D268" i="1"/>
  <c r="C268" i="1"/>
  <c r="A268" i="1"/>
  <c r="G267" i="1"/>
  <c r="D267" i="1"/>
  <c r="C267" i="1"/>
  <c r="A267" i="1"/>
  <c r="G266" i="1"/>
  <c r="D266" i="1"/>
  <c r="C266" i="1"/>
  <c r="A266" i="1"/>
  <c r="G265" i="1"/>
  <c r="D265" i="1"/>
  <c r="C265" i="1"/>
  <c r="A265" i="1"/>
  <c r="G264" i="1"/>
  <c r="D264" i="1"/>
  <c r="C264" i="1"/>
  <c r="A264" i="1"/>
  <c r="G263" i="1"/>
  <c r="D263" i="1"/>
  <c r="C263" i="1"/>
  <c r="A263" i="1"/>
  <c r="G262" i="1"/>
  <c r="D262" i="1"/>
  <c r="C262" i="1"/>
  <c r="A262" i="1"/>
  <c r="G261" i="1"/>
  <c r="D261" i="1"/>
  <c r="C261" i="1"/>
  <c r="A261" i="1"/>
  <c r="G260" i="1"/>
  <c r="D260" i="1"/>
  <c r="C260" i="1"/>
  <c r="A260" i="1"/>
  <c r="G259" i="1"/>
  <c r="D259" i="1"/>
  <c r="C259" i="1"/>
  <c r="A259" i="1"/>
  <c r="G258" i="1"/>
  <c r="D258" i="1"/>
  <c r="C258" i="1"/>
  <c r="A258" i="1"/>
  <c r="G257" i="1"/>
  <c r="D257" i="1"/>
  <c r="C257" i="1"/>
  <c r="A257" i="1"/>
  <c r="G256" i="1"/>
  <c r="D256" i="1"/>
  <c r="C256" i="1"/>
  <c r="A256" i="1"/>
  <c r="G255" i="1"/>
  <c r="D255" i="1"/>
  <c r="C255" i="1"/>
  <c r="A255" i="1"/>
  <c r="G254" i="1"/>
  <c r="D254" i="1"/>
  <c r="C254" i="1"/>
  <c r="A254" i="1"/>
  <c r="G253" i="1"/>
  <c r="D253" i="1"/>
  <c r="C253" i="1"/>
  <c r="A253" i="1"/>
  <c r="G252" i="1"/>
  <c r="D252" i="1"/>
  <c r="C252" i="1"/>
  <c r="A252" i="1"/>
  <c r="G251" i="1"/>
  <c r="D251" i="1"/>
  <c r="C251" i="1"/>
  <c r="A251" i="1"/>
  <c r="G250" i="1"/>
  <c r="D250" i="1"/>
  <c r="C250" i="1"/>
  <c r="A250" i="1"/>
  <c r="G249" i="1"/>
  <c r="D249" i="1"/>
  <c r="C249" i="1"/>
  <c r="A249" i="1"/>
  <c r="G248" i="1"/>
  <c r="D248" i="1"/>
  <c r="C248" i="1"/>
  <c r="A248" i="1"/>
  <c r="G247" i="1"/>
  <c r="D247" i="1"/>
  <c r="C247" i="1"/>
  <c r="A247" i="1"/>
  <c r="G246" i="1"/>
  <c r="D246" i="1"/>
  <c r="C246" i="1"/>
  <c r="A246" i="1"/>
  <c r="G245" i="1"/>
  <c r="D245" i="1"/>
  <c r="C245" i="1"/>
  <c r="A245" i="1"/>
  <c r="G244" i="1"/>
  <c r="D244" i="1"/>
  <c r="C244" i="1"/>
  <c r="A244" i="1"/>
  <c r="G243" i="1"/>
  <c r="D243" i="1"/>
  <c r="C243" i="1"/>
  <c r="A243" i="1"/>
  <c r="G242" i="1"/>
  <c r="D242" i="1"/>
  <c r="C242" i="1"/>
  <c r="A242" i="1"/>
  <c r="G241" i="1"/>
  <c r="D241" i="1"/>
  <c r="C241" i="1"/>
  <c r="A241" i="1"/>
  <c r="G240" i="1"/>
  <c r="D240" i="1"/>
  <c r="C240" i="1"/>
  <c r="A240" i="1"/>
  <c r="G239" i="1"/>
  <c r="D239" i="1"/>
  <c r="C239" i="1"/>
  <c r="A239" i="1"/>
  <c r="G238" i="1"/>
  <c r="D238" i="1"/>
  <c r="C238" i="1"/>
  <c r="A238" i="1"/>
  <c r="G237" i="1"/>
  <c r="D237" i="1"/>
  <c r="C237" i="1"/>
  <c r="A237" i="1"/>
  <c r="G236" i="1"/>
  <c r="D236" i="1"/>
  <c r="C236" i="1"/>
  <c r="A236" i="1"/>
  <c r="G235" i="1"/>
  <c r="D235" i="1"/>
  <c r="C235" i="1"/>
  <c r="A235" i="1"/>
  <c r="G234" i="1"/>
  <c r="D234" i="1"/>
  <c r="C234" i="1"/>
  <c r="A234" i="1"/>
  <c r="G233" i="1"/>
  <c r="D233" i="1"/>
  <c r="C233" i="1"/>
  <c r="A233" i="1"/>
  <c r="G232" i="1"/>
  <c r="D232" i="1"/>
  <c r="C232" i="1"/>
  <c r="A232" i="1"/>
  <c r="G231" i="1"/>
  <c r="D231" i="1"/>
  <c r="C231" i="1"/>
  <c r="A231" i="1"/>
  <c r="G230" i="1"/>
  <c r="D230" i="1"/>
  <c r="C230" i="1"/>
  <c r="A230" i="1"/>
  <c r="G229" i="1"/>
  <c r="D229" i="1"/>
  <c r="C229" i="1"/>
  <c r="A229" i="1"/>
  <c r="G228" i="1"/>
  <c r="D228" i="1"/>
  <c r="C228" i="1"/>
  <c r="A228" i="1"/>
  <c r="G227" i="1"/>
  <c r="D227" i="1"/>
  <c r="C227" i="1"/>
  <c r="A227" i="1"/>
  <c r="G226" i="1"/>
  <c r="D226" i="1"/>
  <c r="C226" i="1"/>
  <c r="A226" i="1"/>
  <c r="G225" i="1"/>
  <c r="D225" i="1"/>
  <c r="C225" i="1"/>
  <c r="A225" i="1"/>
  <c r="G224" i="1"/>
  <c r="D224" i="1"/>
  <c r="C224" i="1"/>
  <c r="A224" i="1"/>
  <c r="G223" i="1"/>
  <c r="D223" i="1"/>
  <c r="C223" i="1"/>
  <c r="A223" i="1"/>
  <c r="G222" i="1"/>
  <c r="D222" i="1"/>
  <c r="C222" i="1"/>
  <c r="A222" i="1"/>
  <c r="G221" i="1"/>
  <c r="D221" i="1"/>
  <c r="C221" i="1"/>
  <c r="A221" i="1"/>
  <c r="G220" i="1"/>
  <c r="D220" i="1"/>
  <c r="C220" i="1"/>
  <c r="A220" i="1"/>
  <c r="G219" i="1"/>
  <c r="D219" i="1"/>
  <c r="C219" i="1"/>
  <c r="A219" i="1"/>
  <c r="G218" i="1"/>
  <c r="D218" i="1"/>
  <c r="C218" i="1"/>
  <c r="A218" i="1"/>
  <c r="G217" i="1"/>
  <c r="D217" i="1"/>
  <c r="C217" i="1"/>
  <c r="A217" i="1"/>
  <c r="G216" i="1"/>
  <c r="D216" i="1"/>
  <c r="C216" i="1"/>
  <c r="A216" i="1"/>
  <c r="G215" i="1"/>
  <c r="D215" i="1"/>
  <c r="C215" i="1"/>
  <c r="A215" i="1"/>
  <c r="G214" i="1"/>
  <c r="D214" i="1"/>
  <c r="C214" i="1"/>
  <c r="A214" i="1"/>
  <c r="G213" i="1"/>
  <c r="D213" i="1"/>
  <c r="C213" i="1"/>
  <c r="A213" i="1"/>
  <c r="G212" i="1"/>
  <c r="D212" i="1"/>
  <c r="C212" i="1"/>
  <c r="A212" i="1"/>
  <c r="G211" i="1"/>
  <c r="D211" i="1"/>
  <c r="C211" i="1"/>
  <c r="A211" i="1"/>
  <c r="G210" i="1"/>
  <c r="D210" i="1"/>
  <c r="C210" i="1"/>
  <c r="A210" i="1"/>
  <c r="G209" i="1"/>
  <c r="D209" i="1"/>
  <c r="C209" i="1"/>
  <c r="A209" i="1"/>
  <c r="G208" i="1"/>
  <c r="D208" i="1"/>
  <c r="C208" i="1"/>
  <c r="A208" i="1"/>
  <c r="G207" i="1"/>
  <c r="D207" i="1"/>
  <c r="C207" i="1"/>
  <c r="A207" i="1"/>
  <c r="G206" i="1"/>
  <c r="D206" i="1"/>
  <c r="C206" i="1"/>
  <c r="A206" i="1"/>
  <c r="G205" i="1"/>
  <c r="D205" i="1"/>
  <c r="C205" i="1"/>
  <c r="A205" i="1"/>
  <c r="G204" i="1"/>
  <c r="D204" i="1"/>
  <c r="C204" i="1"/>
  <c r="A204" i="1"/>
  <c r="G203" i="1"/>
  <c r="D203" i="1"/>
  <c r="C203" i="1"/>
  <c r="A203" i="1"/>
  <c r="G202" i="1"/>
  <c r="D202" i="1"/>
  <c r="C202" i="1"/>
  <c r="A202" i="1"/>
  <c r="G201" i="1"/>
  <c r="D201" i="1"/>
  <c r="C201" i="1"/>
  <c r="A201" i="1"/>
  <c r="G200" i="1"/>
  <c r="D200" i="1"/>
  <c r="C200" i="1"/>
  <c r="A200" i="1"/>
  <c r="G199" i="1"/>
  <c r="D199" i="1"/>
  <c r="C199" i="1"/>
  <c r="A199" i="1"/>
  <c r="G198" i="1"/>
  <c r="D198" i="1"/>
  <c r="C198" i="1"/>
  <c r="A198" i="1"/>
  <c r="G197" i="1"/>
  <c r="D197" i="1"/>
  <c r="C197" i="1"/>
  <c r="A197" i="1"/>
  <c r="G196" i="1"/>
  <c r="D196" i="1"/>
  <c r="C196" i="1"/>
  <c r="A196" i="1"/>
  <c r="G195" i="1"/>
  <c r="D195" i="1"/>
  <c r="C195" i="1"/>
  <c r="A195" i="1"/>
  <c r="G194" i="1"/>
  <c r="D194" i="1"/>
  <c r="C194" i="1"/>
  <c r="A194" i="1"/>
  <c r="G193" i="1"/>
  <c r="D193" i="1"/>
  <c r="C193" i="1"/>
  <c r="A193" i="1"/>
  <c r="G192" i="1"/>
  <c r="D192" i="1"/>
  <c r="C192" i="1"/>
  <c r="A192" i="1"/>
  <c r="G191" i="1"/>
  <c r="D191" i="1"/>
  <c r="C191" i="1"/>
  <c r="A191" i="1"/>
  <c r="G190" i="1"/>
  <c r="D190" i="1"/>
  <c r="C190" i="1"/>
  <c r="A190" i="1"/>
  <c r="G189" i="1"/>
  <c r="D189" i="1"/>
  <c r="C189" i="1"/>
  <c r="A189" i="1"/>
  <c r="G188" i="1"/>
  <c r="D188" i="1"/>
  <c r="C188" i="1"/>
  <c r="A188" i="1"/>
  <c r="G187" i="1"/>
  <c r="D187" i="1"/>
  <c r="C187" i="1"/>
  <c r="A187" i="1"/>
  <c r="G186" i="1"/>
  <c r="D186" i="1"/>
  <c r="C186" i="1"/>
  <c r="A186" i="1"/>
  <c r="G185" i="1"/>
  <c r="D185" i="1"/>
  <c r="C185" i="1"/>
  <c r="A185" i="1"/>
  <c r="G184" i="1"/>
  <c r="D184" i="1"/>
  <c r="C184" i="1"/>
  <c r="A184" i="1"/>
  <c r="G183" i="1"/>
  <c r="D183" i="1"/>
  <c r="C183" i="1"/>
  <c r="A183" i="1"/>
  <c r="G182" i="1"/>
  <c r="D182" i="1"/>
  <c r="C182" i="1"/>
  <c r="A182" i="1"/>
  <c r="G181" i="1"/>
  <c r="D181" i="1"/>
  <c r="C181" i="1"/>
  <c r="A181" i="1"/>
  <c r="G180" i="1"/>
  <c r="D180" i="1"/>
  <c r="C180" i="1"/>
  <c r="A180" i="1"/>
  <c r="G179" i="1"/>
  <c r="D179" i="1"/>
  <c r="C179" i="1"/>
  <c r="A179" i="1"/>
  <c r="G178" i="1"/>
  <c r="D178" i="1"/>
  <c r="C178" i="1"/>
  <c r="A178" i="1"/>
  <c r="G177" i="1"/>
  <c r="D177" i="1"/>
  <c r="C177" i="1"/>
  <c r="A177" i="1"/>
  <c r="G176" i="1"/>
  <c r="D176" i="1"/>
  <c r="C176" i="1"/>
  <c r="A176" i="1"/>
  <c r="G175" i="1"/>
  <c r="D175" i="1"/>
  <c r="C175" i="1"/>
  <c r="A175" i="1"/>
  <c r="G174" i="1"/>
  <c r="D174" i="1"/>
  <c r="C174" i="1"/>
  <c r="A174" i="1"/>
  <c r="G173" i="1"/>
  <c r="D173" i="1"/>
  <c r="C173" i="1"/>
  <c r="A173" i="1"/>
  <c r="G172" i="1"/>
  <c r="D172" i="1"/>
  <c r="C172" i="1"/>
  <c r="A172" i="1"/>
  <c r="G171" i="1"/>
  <c r="D171" i="1"/>
  <c r="C171" i="1"/>
  <c r="A171" i="1"/>
  <c r="G170" i="1"/>
  <c r="D170" i="1"/>
  <c r="C170" i="1"/>
  <c r="A170" i="1"/>
  <c r="G169" i="1"/>
  <c r="D169" i="1"/>
  <c r="C169" i="1"/>
  <c r="A169" i="1"/>
  <c r="G168" i="1"/>
  <c r="D168" i="1"/>
  <c r="C168" i="1"/>
  <c r="A168" i="1"/>
  <c r="G167" i="1"/>
  <c r="D167" i="1"/>
  <c r="C167" i="1"/>
  <c r="A167" i="1"/>
  <c r="G166" i="1"/>
  <c r="D166" i="1"/>
  <c r="C166" i="1"/>
  <c r="A166" i="1"/>
  <c r="G165" i="1"/>
  <c r="D165" i="1"/>
  <c r="C165" i="1"/>
  <c r="A165" i="1"/>
  <c r="G164" i="1"/>
  <c r="D164" i="1"/>
  <c r="C164" i="1"/>
  <c r="A164" i="1"/>
  <c r="G163" i="1"/>
  <c r="D163" i="1"/>
  <c r="C163" i="1"/>
  <c r="A163" i="1"/>
  <c r="G162" i="1"/>
  <c r="D162" i="1"/>
  <c r="C162" i="1"/>
  <c r="A162" i="1"/>
  <c r="G161" i="1"/>
  <c r="D161" i="1"/>
  <c r="C161" i="1"/>
  <c r="A161" i="1"/>
  <c r="G160" i="1"/>
  <c r="D160" i="1"/>
  <c r="C160" i="1"/>
  <c r="A160" i="1"/>
  <c r="G159" i="1"/>
  <c r="D159" i="1"/>
  <c r="C159" i="1"/>
  <c r="A159" i="1"/>
  <c r="G158" i="1"/>
  <c r="D158" i="1"/>
  <c r="C158" i="1"/>
  <c r="A158" i="1"/>
  <c r="G157" i="1"/>
  <c r="D157" i="1"/>
  <c r="C157" i="1"/>
  <c r="A157" i="1"/>
  <c r="G156" i="1"/>
  <c r="D156" i="1"/>
  <c r="C156" i="1"/>
  <c r="A156" i="1"/>
  <c r="G155" i="1"/>
  <c r="D155" i="1"/>
  <c r="C155" i="1"/>
  <c r="A155" i="1"/>
  <c r="G154" i="1"/>
  <c r="D154" i="1"/>
  <c r="C154" i="1"/>
  <c r="A154" i="1"/>
  <c r="G153" i="1"/>
  <c r="D153" i="1"/>
  <c r="C153" i="1"/>
  <c r="A153" i="1"/>
  <c r="G152" i="1"/>
  <c r="D152" i="1"/>
  <c r="C152" i="1"/>
  <c r="A152" i="1"/>
  <c r="G151" i="1"/>
  <c r="D151" i="1"/>
  <c r="C151" i="1"/>
  <c r="A151" i="1"/>
  <c r="G150" i="1"/>
  <c r="D150" i="1"/>
  <c r="C150" i="1"/>
  <c r="A150" i="1"/>
  <c r="G149" i="1"/>
  <c r="D149" i="1"/>
  <c r="C149" i="1"/>
  <c r="A149" i="1"/>
  <c r="G148" i="1"/>
  <c r="D148" i="1"/>
  <c r="C148" i="1"/>
  <c r="A148" i="1"/>
  <c r="G147" i="1"/>
  <c r="D147" i="1"/>
  <c r="C147" i="1"/>
  <c r="A147" i="1"/>
  <c r="G146" i="1"/>
  <c r="D146" i="1"/>
  <c r="C146" i="1"/>
  <c r="A146" i="1"/>
  <c r="G145" i="1"/>
  <c r="D145" i="1"/>
  <c r="C145" i="1"/>
  <c r="A145" i="1"/>
  <c r="G144" i="1"/>
  <c r="D144" i="1"/>
  <c r="C144" i="1"/>
  <c r="A144" i="1"/>
  <c r="G143" i="1"/>
  <c r="D143" i="1"/>
  <c r="C143" i="1"/>
  <c r="A143" i="1"/>
  <c r="G142" i="1"/>
  <c r="D142" i="1"/>
  <c r="C142" i="1"/>
  <c r="A142" i="1"/>
  <c r="G141" i="1"/>
  <c r="D141" i="1"/>
  <c r="C141" i="1"/>
  <c r="A141" i="1"/>
  <c r="G140" i="1"/>
  <c r="D140" i="1"/>
  <c r="C140" i="1"/>
  <c r="A140" i="1"/>
  <c r="G139" i="1"/>
  <c r="D139" i="1"/>
  <c r="C139" i="1"/>
  <c r="A139" i="1"/>
  <c r="G138" i="1"/>
  <c r="D138" i="1"/>
  <c r="C138" i="1"/>
  <c r="A138" i="1"/>
  <c r="G137" i="1"/>
  <c r="D137" i="1"/>
  <c r="C137" i="1"/>
  <c r="A137" i="1"/>
  <c r="G136" i="1"/>
  <c r="D136" i="1"/>
  <c r="C136" i="1"/>
  <c r="A136" i="1"/>
  <c r="G135" i="1"/>
  <c r="D135" i="1"/>
  <c r="C135" i="1"/>
  <c r="A135" i="1"/>
  <c r="G134" i="1"/>
  <c r="D134" i="1"/>
  <c r="C134" i="1"/>
  <c r="A134" i="1"/>
  <c r="G133" i="1"/>
  <c r="D133" i="1"/>
  <c r="C133" i="1"/>
  <c r="A133" i="1"/>
  <c r="G132" i="1"/>
  <c r="D132" i="1"/>
  <c r="C132" i="1"/>
  <c r="A132" i="1"/>
  <c r="G131" i="1"/>
  <c r="D131" i="1"/>
  <c r="C131" i="1"/>
  <c r="A131" i="1"/>
  <c r="G130" i="1"/>
  <c r="D130" i="1"/>
  <c r="C130" i="1"/>
  <c r="A130" i="1"/>
  <c r="G129" i="1"/>
  <c r="D129" i="1"/>
  <c r="C129" i="1"/>
  <c r="A129" i="1"/>
  <c r="G128" i="1"/>
  <c r="D128" i="1"/>
  <c r="C128" i="1"/>
  <c r="A128" i="1"/>
  <c r="G127" i="1"/>
  <c r="D127" i="1"/>
  <c r="C127" i="1"/>
  <c r="A127" i="1"/>
  <c r="G126" i="1"/>
  <c r="D126" i="1"/>
  <c r="C126" i="1"/>
  <c r="A126" i="1"/>
  <c r="G125" i="1"/>
  <c r="D125" i="1"/>
  <c r="C125" i="1"/>
  <c r="A125" i="1"/>
  <c r="G124" i="1"/>
  <c r="D124" i="1"/>
  <c r="C124" i="1"/>
  <c r="A124" i="1"/>
  <c r="G123" i="1"/>
  <c r="D123" i="1"/>
  <c r="C123" i="1"/>
  <c r="A123" i="1"/>
  <c r="G122" i="1"/>
  <c r="D122" i="1"/>
  <c r="C122" i="1"/>
  <c r="A122" i="1"/>
  <c r="G121" i="1"/>
  <c r="D121" i="1"/>
  <c r="C121" i="1"/>
  <c r="A121" i="1"/>
  <c r="G120" i="1"/>
  <c r="D120" i="1"/>
  <c r="C120" i="1"/>
  <c r="A120" i="1"/>
  <c r="G119" i="1"/>
  <c r="D119" i="1"/>
  <c r="C119" i="1"/>
  <c r="A119" i="1"/>
  <c r="G118" i="1"/>
  <c r="D118" i="1"/>
  <c r="C118" i="1"/>
  <c r="A118" i="1"/>
  <c r="G117" i="1"/>
  <c r="D117" i="1"/>
  <c r="C117" i="1"/>
  <c r="A117" i="1"/>
  <c r="G116" i="1"/>
  <c r="D116" i="1"/>
  <c r="C116" i="1"/>
  <c r="A116" i="1"/>
  <c r="G115" i="1"/>
  <c r="D115" i="1"/>
  <c r="C115" i="1"/>
  <c r="A115" i="1"/>
  <c r="G114" i="1"/>
  <c r="D114" i="1"/>
  <c r="C114" i="1"/>
  <c r="A114" i="1"/>
  <c r="G113" i="1"/>
  <c r="D113" i="1"/>
  <c r="C113" i="1"/>
  <c r="A113" i="1"/>
  <c r="G112" i="1"/>
  <c r="D112" i="1"/>
  <c r="C112" i="1"/>
  <c r="A112" i="1"/>
  <c r="G111" i="1"/>
  <c r="D111" i="1"/>
  <c r="C111" i="1"/>
  <c r="A111" i="1"/>
  <c r="G110" i="1"/>
  <c r="D110" i="1"/>
  <c r="C110" i="1"/>
  <c r="A110" i="1"/>
  <c r="G109" i="1"/>
  <c r="D109" i="1"/>
  <c r="C109" i="1"/>
  <c r="A109" i="1"/>
  <c r="G108" i="1"/>
  <c r="D108" i="1"/>
  <c r="C108" i="1"/>
  <c r="A108" i="1"/>
  <c r="G107" i="1"/>
  <c r="D107" i="1"/>
  <c r="C107" i="1"/>
  <c r="A107" i="1"/>
  <c r="G106" i="1"/>
  <c r="D106" i="1"/>
  <c r="C106" i="1"/>
  <c r="A106" i="1"/>
  <c r="G105" i="1"/>
  <c r="D105" i="1"/>
  <c r="C105" i="1"/>
  <c r="A105" i="1"/>
  <c r="G104" i="1"/>
  <c r="D104" i="1"/>
  <c r="C104" i="1"/>
  <c r="A104" i="1"/>
  <c r="G103" i="1"/>
  <c r="D103" i="1"/>
  <c r="C103" i="1"/>
  <c r="A103" i="1"/>
  <c r="G102" i="1"/>
  <c r="D102" i="1"/>
  <c r="C102" i="1"/>
  <c r="A102" i="1"/>
  <c r="G101" i="1"/>
  <c r="D101" i="1"/>
  <c r="C101" i="1"/>
  <c r="A101" i="1"/>
  <c r="G100" i="1"/>
  <c r="D100" i="1"/>
  <c r="C100" i="1"/>
  <c r="A100" i="1"/>
  <c r="G99" i="1"/>
  <c r="D99" i="1"/>
  <c r="C99" i="1"/>
  <c r="A99" i="1"/>
  <c r="G98" i="1"/>
  <c r="D98" i="1"/>
  <c r="C98" i="1"/>
  <c r="A98" i="1"/>
  <c r="G97" i="1"/>
  <c r="D97" i="1"/>
  <c r="C97" i="1"/>
  <c r="A97" i="1"/>
  <c r="G96" i="1"/>
  <c r="D96" i="1"/>
  <c r="C96" i="1"/>
  <c r="A96" i="1"/>
  <c r="G95" i="1"/>
  <c r="D95" i="1"/>
  <c r="C95" i="1"/>
  <c r="A95" i="1"/>
  <c r="G94" i="1"/>
  <c r="D94" i="1"/>
  <c r="C94" i="1"/>
  <c r="A94" i="1"/>
  <c r="G93" i="1"/>
  <c r="D93" i="1"/>
  <c r="C93" i="1"/>
  <c r="A93" i="1"/>
  <c r="G92" i="1"/>
  <c r="D92" i="1"/>
  <c r="C92" i="1"/>
  <c r="A92" i="1"/>
  <c r="G91" i="1"/>
  <c r="D91" i="1"/>
  <c r="C91" i="1"/>
  <c r="A91" i="1"/>
  <c r="G90" i="1"/>
  <c r="D90" i="1"/>
  <c r="C90" i="1"/>
  <c r="A90" i="1"/>
  <c r="G89" i="1"/>
  <c r="D89" i="1"/>
  <c r="C89" i="1"/>
  <c r="A89" i="1"/>
  <c r="G88" i="1"/>
  <c r="D88" i="1"/>
  <c r="C88" i="1"/>
  <c r="A88" i="1"/>
  <c r="G87" i="1"/>
  <c r="D87" i="1"/>
  <c r="C87" i="1"/>
  <c r="A87" i="1"/>
  <c r="G86" i="1"/>
  <c r="D86" i="1"/>
  <c r="C86" i="1"/>
  <c r="A86" i="1"/>
  <c r="G85" i="1"/>
  <c r="D85" i="1"/>
  <c r="C85" i="1"/>
  <c r="A85" i="1"/>
  <c r="G84" i="1"/>
  <c r="D84" i="1"/>
  <c r="C84" i="1"/>
  <c r="A84" i="1"/>
  <c r="G83" i="1"/>
  <c r="D83" i="1"/>
  <c r="C83" i="1"/>
  <c r="A83" i="1"/>
  <c r="G82" i="1"/>
  <c r="D82" i="1"/>
  <c r="C82" i="1"/>
  <c r="A82" i="1"/>
  <c r="G81" i="1"/>
  <c r="D81" i="1"/>
  <c r="C81" i="1"/>
  <c r="A81" i="1"/>
  <c r="G80" i="1"/>
  <c r="D80" i="1"/>
  <c r="C80" i="1"/>
  <c r="A80" i="1"/>
  <c r="G79" i="1"/>
  <c r="D79" i="1"/>
  <c r="C79" i="1"/>
  <c r="A79" i="1"/>
  <c r="G78" i="1"/>
  <c r="D78" i="1"/>
  <c r="C78" i="1"/>
  <c r="A78" i="1"/>
  <c r="G77" i="1"/>
  <c r="D77" i="1"/>
  <c r="C77" i="1"/>
  <c r="A77" i="1"/>
  <c r="G76" i="1"/>
  <c r="D76" i="1"/>
  <c r="C76" i="1"/>
  <c r="A76" i="1"/>
  <c r="G75" i="1"/>
  <c r="D75" i="1"/>
  <c r="C75" i="1"/>
  <c r="A75" i="1"/>
  <c r="G74" i="1"/>
  <c r="D74" i="1"/>
  <c r="C74" i="1"/>
  <c r="A74" i="1"/>
  <c r="G73" i="1"/>
  <c r="D73" i="1"/>
  <c r="C73" i="1"/>
  <c r="A73" i="1"/>
  <c r="G72" i="1"/>
  <c r="D72" i="1"/>
  <c r="C72" i="1"/>
  <c r="A72" i="1"/>
  <c r="G71" i="1"/>
  <c r="D71" i="1"/>
  <c r="C71" i="1"/>
  <c r="A71" i="1"/>
  <c r="G70" i="1"/>
  <c r="D70" i="1"/>
  <c r="C70" i="1"/>
  <c r="A70" i="1"/>
  <c r="G69" i="1"/>
  <c r="D69" i="1"/>
  <c r="C69" i="1"/>
  <c r="A69" i="1"/>
  <c r="G68" i="1"/>
  <c r="D68" i="1"/>
  <c r="C68" i="1"/>
  <c r="A68" i="1"/>
  <c r="G67" i="1"/>
  <c r="D67" i="1"/>
  <c r="C67" i="1"/>
  <c r="A67" i="1"/>
  <c r="G66" i="1"/>
  <c r="D66" i="1"/>
  <c r="C66" i="1"/>
  <c r="A66" i="1"/>
  <c r="G65" i="1"/>
  <c r="D65" i="1"/>
  <c r="C65" i="1"/>
  <c r="A65" i="1"/>
  <c r="G64" i="1"/>
  <c r="D64" i="1"/>
  <c r="C64" i="1"/>
  <c r="A64" i="1"/>
  <c r="G63" i="1"/>
  <c r="D63" i="1"/>
  <c r="C63" i="1"/>
  <c r="A63" i="1"/>
  <c r="G62" i="1"/>
  <c r="D62" i="1"/>
  <c r="C62" i="1"/>
  <c r="A62" i="1"/>
  <c r="G61" i="1"/>
  <c r="D61" i="1"/>
  <c r="C61" i="1"/>
  <c r="A61" i="1"/>
  <c r="G60" i="1"/>
  <c r="D60" i="1"/>
  <c r="C60" i="1"/>
  <c r="A60" i="1"/>
  <c r="G59" i="1"/>
  <c r="D59" i="1"/>
  <c r="C59" i="1"/>
  <c r="A59" i="1"/>
  <c r="G58" i="1"/>
  <c r="D58" i="1"/>
  <c r="C58" i="1"/>
  <c r="A58" i="1"/>
  <c r="G57" i="1"/>
  <c r="D57" i="1"/>
  <c r="C57" i="1"/>
  <c r="A57" i="1"/>
  <c r="G56" i="1"/>
  <c r="D56" i="1"/>
  <c r="C56" i="1"/>
  <c r="A56" i="1"/>
  <c r="G55" i="1"/>
  <c r="D55" i="1"/>
  <c r="C55" i="1"/>
  <c r="A55" i="1"/>
  <c r="G54" i="1"/>
  <c r="D54" i="1"/>
  <c r="C54" i="1"/>
  <c r="A54" i="1"/>
  <c r="G53" i="1"/>
  <c r="D53" i="1"/>
  <c r="C53" i="1"/>
  <c r="A53" i="1"/>
  <c r="G52" i="1"/>
  <c r="D52" i="1"/>
  <c r="C52" i="1"/>
  <c r="A52" i="1"/>
  <c r="G51" i="1"/>
  <c r="D51" i="1"/>
  <c r="C51" i="1"/>
  <c r="A51" i="1"/>
  <c r="G50" i="1"/>
  <c r="D50" i="1"/>
  <c r="C50" i="1"/>
  <c r="A50" i="1"/>
  <c r="G49" i="1"/>
  <c r="D49" i="1"/>
  <c r="C49" i="1"/>
  <c r="A49" i="1"/>
  <c r="G48" i="1"/>
  <c r="D48" i="1"/>
  <c r="C48" i="1"/>
  <c r="A48" i="1"/>
  <c r="G47" i="1"/>
  <c r="D47" i="1"/>
  <c r="C47" i="1"/>
  <c r="A47" i="1"/>
  <c r="G46" i="1"/>
  <c r="D46" i="1"/>
  <c r="C46" i="1"/>
  <c r="A46" i="1"/>
  <c r="G45" i="1"/>
  <c r="D45" i="1"/>
  <c r="C45" i="1"/>
  <c r="A45" i="1"/>
  <c r="G44" i="1"/>
  <c r="D44" i="1"/>
  <c r="C44" i="1"/>
  <c r="A44" i="1"/>
  <c r="G43" i="1"/>
  <c r="D43" i="1"/>
  <c r="C43" i="1"/>
  <c r="A43" i="1"/>
  <c r="G42" i="1"/>
  <c r="D42" i="1"/>
  <c r="C42" i="1"/>
  <c r="A42" i="1"/>
  <c r="G41" i="1"/>
  <c r="D41" i="1"/>
  <c r="C41" i="1"/>
  <c r="A41" i="1"/>
  <c r="G40" i="1"/>
  <c r="D40" i="1"/>
  <c r="C40" i="1"/>
  <c r="A40" i="1"/>
  <c r="G39" i="1"/>
  <c r="D39" i="1"/>
  <c r="C39" i="1"/>
  <c r="A39" i="1"/>
  <c r="G38" i="1"/>
  <c r="D38" i="1"/>
  <c r="C38" i="1"/>
  <c r="A38" i="1"/>
  <c r="G37" i="1"/>
  <c r="D37" i="1"/>
  <c r="C37" i="1"/>
  <c r="A37" i="1"/>
  <c r="G36" i="1"/>
  <c r="D36" i="1"/>
  <c r="C36" i="1"/>
  <c r="A36" i="1"/>
  <c r="G35" i="1"/>
  <c r="D35" i="1"/>
  <c r="C35" i="1"/>
  <c r="A35" i="1"/>
  <c r="G34" i="1"/>
  <c r="D34" i="1"/>
  <c r="C34" i="1"/>
  <c r="A34" i="1"/>
  <c r="G33" i="1"/>
  <c r="D33" i="1"/>
  <c r="C33" i="1"/>
  <c r="A33" i="1"/>
  <c r="G32" i="1"/>
  <c r="D32" i="1"/>
  <c r="C32" i="1"/>
  <c r="A32" i="1"/>
  <c r="G31" i="1"/>
  <c r="D31" i="1"/>
  <c r="C31" i="1"/>
  <c r="A31" i="1"/>
  <c r="G30" i="1"/>
  <c r="D30" i="1"/>
  <c r="C30" i="1"/>
  <c r="A30" i="1"/>
  <c r="G29" i="1"/>
  <c r="D29" i="1"/>
  <c r="C29" i="1"/>
  <c r="A29" i="1"/>
  <c r="G28" i="1"/>
  <c r="D28" i="1"/>
  <c r="C28" i="1"/>
  <c r="A28" i="1"/>
  <c r="G27" i="1"/>
  <c r="D27" i="1"/>
  <c r="C27" i="1"/>
  <c r="A27" i="1"/>
  <c r="G26" i="1"/>
  <c r="D26" i="1"/>
  <c r="C26" i="1"/>
  <c r="A26" i="1"/>
  <c r="G25" i="1"/>
  <c r="D25" i="1"/>
  <c r="C25" i="1"/>
  <c r="A25" i="1"/>
  <c r="G24" i="1"/>
  <c r="D24" i="1"/>
  <c r="C24" i="1"/>
  <c r="A24" i="1"/>
  <c r="G23" i="1"/>
  <c r="D23" i="1"/>
  <c r="C23" i="1"/>
  <c r="A23" i="1"/>
  <c r="G22" i="1"/>
  <c r="D22" i="1"/>
  <c r="C22" i="1"/>
  <c r="A22" i="1"/>
  <c r="G21" i="1"/>
  <c r="D21" i="1"/>
  <c r="C21" i="1"/>
  <c r="A21" i="1"/>
  <c r="G20" i="1"/>
  <c r="D20" i="1"/>
  <c r="C20" i="1"/>
  <c r="A20" i="1"/>
  <c r="G19" i="1"/>
  <c r="D19" i="1"/>
  <c r="C19" i="1"/>
  <c r="A19" i="1"/>
  <c r="G18" i="1"/>
  <c r="D18" i="1"/>
  <c r="C18" i="1"/>
  <c r="A18" i="1"/>
  <c r="G17" i="1"/>
  <c r="D17" i="1"/>
  <c r="C17" i="1"/>
  <c r="A17" i="1"/>
  <c r="G16" i="1"/>
  <c r="D16" i="1"/>
  <c r="C16" i="1"/>
  <c r="A16" i="1"/>
  <c r="G15" i="1"/>
  <c r="D15" i="1"/>
  <c r="C15" i="1"/>
  <c r="A15" i="1"/>
  <c r="G14" i="1"/>
  <c r="D14" i="1"/>
  <c r="C14" i="1"/>
  <c r="A14" i="1"/>
  <c r="G13" i="1"/>
  <c r="C13" i="1"/>
  <c r="A13" i="1"/>
  <c r="G12" i="1"/>
  <c r="D12" i="1"/>
  <c r="C12" i="1"/>
  <c r="A12" i="1"/>
  <c r="G11" i="1"/>
  <c r="D11" i="1"/>
  <c r="C11" i="1"/>
  <c r="A11" i="1"/>
  <c r="G10" i="1"/>
  <c r="D10" i="1"/>
  <c r="C10" i="1"/>
  <c r="A10" i="1"/>
  <c r="G9" i="1"/>
  <c r="D9" i="1"/>
  <c r="C9" i="1"/>
  <c r="A9" i="1"/>
  <c r="G8" i="1"/>
  <c r="D8" i="1"/>
  <c r="C8" i="1"/>
  <c r="A8" i="1"/>
  <c r="G7" i="1"/>
  <c r="D7" i="1"/>
  <c r="C7" i="1"/>
  <c r="A7" i="1"/>
  <c r="G6" i="1"/>
  <c r="D6" i="1"/>
  <c r="C6" i="1"/>
  <c r="A6" i="1"/>
  <c r="G5" i="1"/>
  <c r="D5" i="1"/>
  <c r="C5" i="1"/>
  <c r="A5" i="1"/>
  <c r="G4" i="1"/>
  <c r="D4" i="1"/>
  <c r="C4" i="1"/>
  <c r="A4" i="1"/>
  <c r="G3" i="1"/>
  <c r="D3" i="1"/>
  <c r="C3" i="1"/>
  <c r="A3" i="1"/>
  <c r="G2" i="1"/>
  <c r="D2" i="1"/>
  <c r="C2" i="1"/>
  <c r="A2" i="1"/>
  <c r="E361" i="1" l="1"/>
  <c r="J361" i="1"/>
  <c r="B361" i="1"/>
  <c r="E360" i="1"/>
  <c r="B360" i="1"/>
  <c r="J359" i="1"/>
  <c r="I359" i="1"/>
  <c r="H359" i="1"/>
  <c r="E359" i="1"/>
  <c r="B359" i="1"/>
  <c r="E358" i="1"/>
  <c r="J358" i="1"/>
  <c r="B358" i="1"/>
  <c r="E357" i="1"/>
  <c r="B357" i="1"/>
  <c r="J356" i="1"/>
  <c r="E356" i="1"/>
  <c r="I356" i="1"/>
  <c r="B356" i="1"/>
  <c r="E355" i="1"/>
  <c r="B355" i="1"/>
  <c r="J354" i="1"/>
  <c r="H354" i="1"/>
  <c r="E354" i="1"/>
  <c r="I354" i="1"/>
  <c r="B354" i="1"/>
  <c r="E353" i="1"/>
  <c r="B353" i="1"/>
  <c r="J352" i="1"/>
  <c r="I352" i="1"/>
  <c r="H352" i="1"/>
  <c r="E352" i="1"/>
  <c r="B352" i="1"/>
  <c r="E351" i="1"/>
  <c r="J351" i="1"/>
  <c r="B351" i="1"/>
  <c r="E350" i="1"/>
  <c r="B350" i="1"/>
  <c r="E349" i="1"/>
  <c r="J349" i="1"/>
  <c r="B349" i="1"/>
  <c r="E348" i="1"/>
  <c r="B348" i="1"/>
  <c r="J347" i="1"/>
  <c r="I347" i="1"/>
  <c r="E347" i="1"/>
  <c r="H347" i="1"/>
  <c r="B347" i="1"/>
  <c r="E346" i="1"/>
  <c r="B346" i="1"/>
  <c r="E345" i="1"/>
  <c r="B345" i="1"/>
  <c r="J344" i="1"/>
  <c r="E344" i="1"/>
  <c r="I344" i="1"/>
  <c r="B344" i="1"/>
  <c r="E343" i="1"/>
  <c r="J343" i="1"/>
  <c r="B343" i="1"/>
  <c r="J342" i="1"/>
  <c r="E342" i="1"/>
  <c r="I342" i="1"/>
  <c r="B342" i="1"/>
  <c r="E341" i="1"/>
  <c r="I341" i="1"/>
  <c r="B341" i="1"/>
  <c r="J340" i="1"/>
  <c r="I340" i="1"/>
  <c r="H340" i="1"/>
  <c r="E340" i="1"/>
  <c r="B340" i="1"/>
  <c r="E339" i="1"/>
  <c r="B339" i="1"/>
  <c r="E338" i="1"/>
  <c r="I338" i="1"/>
  <c r="B338" i="1"/>
  <c r="E337" i="1"/>
  <c r="J337" i="1"/>
  <c r="B337" i="1"/>
  <c r="E336" i="1"/>
  <c r="J336" i="1"/>
  <c r="B336" i="1"/>
  <c r="E335" i="1"/>
  <c r="J335" i="1"/>
  <c r="B335" i="1"/>
  <c r="E334" i="1"/>
  <c r="H334" i="1"/>
  <c r="B334" i="1"/>
  <c r="J333" i="1"/>
  <c r="E333" i="1"/>
  <c r="I333" i="1"/>
  <c r="B333" i="1"/>
  <c r="I332" i="1"/>
  <c r="E332" i="1"/>
  <c r="B332" i="1"/>
  <c r="E331" i="1"/>
  <c r="H331" i="1"/>
  <c r="B331" i="1"/>
  <c r="E330" i="1"/>
  <c r="H330" i="1"/>
  <c r="B330" i="1"/>
  <c r="E329" i="1"/>
  <c r="B329" i="1"/>
  <c r="E328" i="1"/>
  <c r="B328" i="1"/>
  <c r="J327" i="1"/>
  <c r="I327" i="1"/>
  <c r="H327" i="1"/>
  <c r="E327" i="1"/>
  <c r="B327" i="1"/>
  <c r="J326" i="1"/>
  <c r="I326" i="1"/>
  <c r="H326" i="1"/>
  <c r="E326" i="1"/>
  <c r="B326" i="1"/>
  <c r="E325" i="1"/>
  <c r="I325" i="1"/>
  <c r="B325" i="1"/>
  <c r="E324" i="1"/>
  <c r="B324" i="1"/>
  <c r="E323" i="1"/>
  <c r="B323" i="1"/>
  <c r="E322" i="1"/>
  <c r="I322" i="1"/>
  <c r="B322" i="1"/>
  <c r="E321" i="1"/>
  <c r="J321" i="1"/>
  <c r="B321" i="1"/>
  <c r="E320" i="1"/>
  <c r="J320" i="1"/>
  <c r="B320" i="1"/>
  <c r="E319" i="1"/>
  <c r="J319" i="1"/>
  <c r="B319" i="1"/>
  <c r="E318" i="1"/>
  <c r="B318" i="1"/>
  <c r="J317" i="1"/>
  <c r="H317" i="1"/>
  <c r="E317" i="1"/>
  <c r="I317" i="1"/>
  <c r="B317" i="1"/>
  <c r="E316" i="1"/>
  <c r="B316" i="1"/>
  <c r="E315" i="1"/>
  <c r="H315" i="1"/>
  <c r="B315" i="1"/>
  <c r="E314" i="1"/>
  <c r="H314" i="1"/>
  <c r="B314" i="1"/>
  <c r="E313" i="1"/>
  <c r="B313" i="1"/>
  <c r="J312" i="1"/>
  <c r="I312" i="1"/>
  <c r="H312" i="1"/>
  <c r="E312" i="1"/>
  <c r="B312" i="1"/>
  <c r="J311" i="1"/>
  <c r="I311" i="1"/>
  <c r="H311" i="1"/>
  <c r="E311" i="1"/>
  <c r="B311" i="1"/>
  <c r="J310" i="1"/>
  <c r="H310" i="1"/>
  <c r="E310" i="1"/>
  <c r="I310" i="1"/>
  <c r="B310" i="1"/>
  <c r="J309" i="1"/>
  <c r="H309" i="1"/>
  <c r="E309" i="1"/>
  <c r="I309" i="1"/>
  <c r="B309" i="1"/>
  <c r="E308" i="1"/>
  <c r="J308" i="1"/>
  <c r="B308" i="1"/>
  <c r="J307" i="1"/>
  <c r="E307" i="1"/>
  <c r="B307" i="1"/>
  <c r="E306" i="1"/>
  <c r="I306" i="1"/>
  <c r="B306" i="1"/>
  <c r="E305" i="1"/>
  <c r="B305" i="1"/>
  <c r="E304" i="1"/>
  <c r="J304" i="1"/>
  <c r="B304" i="1"/>
  <c r="E303" i="1"/>
  <c r="J303" i="1"/>
  <c r="B303" i="1"/>
  <c r="E302" i="1"/>
  <c r="H302" i="1"/>
  <c r="B302" i="1"/>
  <c r="J301" i="1"/>
  <c r="I301" i="1"/>
  <c r="H301" i="1"/>
  <c r="E301" i="1"/>
  <c r="B301" i="1"/>
  <c r="E300" i="1"/>
  <c r="B300" i="1"/>
  <c r="E299" i="1"/>
  <c r="B299" i="1"/>
  <c r="E298" i="1"/>
  <c r="B298" i="1"/>
  <c r="E297" i="1"/>
  <c r="B297" i="1"/>
  <c r="E296" i="1"/>
  <c r="J296" i="1"/>
  <c r="B296" i="1"/>
  <c r="E295" i="1"/>
  <c r="J295" i="1"/>
  <c r="B295" i="1"/>
  <c r="E294" i="1"/>
  <c r="J294" i="1"/>
  <c r="B294" i="1"/>
  <c r="E293" i="1"/>
  <c r="I293" i="1"/>
  <c r="B293" i="1"/>
  <c r="J292" i="1"/>
  <c r="I292" i="1"/>
  <c r="H292" i="1"/>
  <c r="E292" i="1"/>
  <c r="B292" i="1"/>
  <c r="E291" i="1"/>
  <c r="B291" i="1"/>
  <c r="E290" i="1"/>
  <c r="I290" i="1"/>
  <c r="B290" i="1"/>
  <c r="E289" i="1"/>
  <c r="J289" i="1"/>
  <c r="B289" i="1"/>
  <c r="E288" i="1"/>
  <c r="J288" i="1"/>
  <c r="B288" i="1"/>
  <c r="J287" i="1"/>
  <c r="E287" i="1"/>
  <c r="I287" i="1"/>
  <c r="B287" i="1"/>
  <c r="I286" i="1"/>
  <c r="E286" i="1"/>
  <c r="H286" i="1"/>
  <c r="B286" i="1"/>
  <c r="J285" i="1"/>
  <c r="E285" i="1"/>
  <c r="I285" i="1"/>
  <c r="B285" i="1"/>
  <c r="E284" i="1"/>
  <c r="I284" i="1"/>
  <c r="B284" i="1"/>
  <c r="J283" i="1"/>
  <c r="I283" i="1"/>
  <c r="E283" i="1"/>
  <c r="H283" i="1"/>
  <c r="B283" i="1"/>
  <c r="E282" i="1"/>
  <c r="B282" i="1"/>
  <c r="E281" i="1"/>
  <c r="B281" i="1"/>
  <c r="E280" i="1"/>
  <c r="B280" i="1"/>
  <c r="J279" i="1"/>
  <c r="I279" i="1"/>
  <c r="E279" i="1"/>
  <c r="H279" i="1"/>
  <c r="B279" i="1"/>
  <c r="J278" i="1"/>
  <c r="I278" i="1"/>
  <c r="H278" i="1"/>
  <c r="E278" i="1"/>
  <c r="B278" i="1"/>
  <c r="E277" i="1"/>
  <c r="I277" i="1"/>
  <c r="B277" i="1"/>
  <c r="E276" i="1"/>
  <c r="J276" i="1"/>
  <c r="B276" i="1"/>
  <c r="E275" i="1"/>
  <c r="B275" i="1"/>
  <c r="E274" i="1"/>
  <c r="I274" i="1"/>
  <c r="B274" i="1"/>
  <c r="I273" i="1"/>
  <c r="H273" i="1"/>
  <c r="E273" i="1"/>
  <c r="J273" i="1"/>
  <c r="B273" i="1"/>
  <c r="I272" i="1"/>
  <c r="E272" i="1"/>
  <c r="J272" i="1"/>
  <c r="B272" i="1"/>
  <c r="J271" i="1"/>
  <c r="I271" i="1"/>
  <c r="H271" i="1"/>
  <c r="E271" i="1"/>
  <c r="B271" i="1"/>
  <c r="E270" i="1"/>
  <c r="H270" i="1"/>
  <c r="B270" i="1"/>
  <c r="J269" i="1"/>
  <c r="I269" i="1"/>
  <c r="H269" i="1"/>
  <c r="E269" i="1"/>
  <c r="B269" i="1"/>
  <c r="E268" i="1"/>
  <c r="B268" i="1"/>
  <c r="E267" i="1"/>
  <c r="H267" i="1"/>
  <c r="B267" i="1"/>
  <c r="H266" i="1"/>
  <c r="E266" i="1"/>
  <c r="B266" i="1"/>
  <c r="E265" i="1"/>
  <c r="B265" i="1"/>
  <c r="E264" i="1"/>
  <c r="J264" i="1"/>
  <c r="B264" i="1"/>
  <c r="J263" i="1"/>
  <c r="E263" i="1"/>
  <c r="I263" i="1"/>
  <c r="B263" i="1"/>
  <c r="E262" i="1"/>
  <c r="J262" i="1"/>
  <c r="B262" i="1"/>
  <c r="E261" i="1"/>
  <c r="B261" i="1"/>
  <c r="J260" i="1"/>
  <c r="H260" i="1"/>
  <c r="E260" i="1"/>
  <c r="I260" i="1"/>
  <c r="B260" i="1"/>
  <c r="E259" i="1"/>
  <c r="B259" i="1"/>
  <c r="E258" i="1"/>
  <c r="I258" i="1"/>
  <c r="B258" i="1"/>
  <c r="H257" i="1"/>
  <c r="E257" i="1"/>
  <c r="J257" i="1"/>
  <c r="B257" i="1"/>
  <c r="E256" i="1"/>
  <c r="J256" i="1"/>
  <c r="B256" i="1"/>
  <c r="J255" i="1"/>
  <c r="I255" i="1"/>
  <c r="H255" i="1"/>
  <c r="E255" i="1"/>
  <c r="B255" i="1"/>
  <c r="E254" i="1"/>
  <c r="H254" i="1"/>
  <c r="B254" i="1"/>
  <c r="E253" i="1"/>
  <c r="J253" i="1"/>
  <c r="B253" i="1"/>
  <c r="E252" i="1"/>
  <c r="B252" i="1"/>
  <c r="E251" i="1"/>
  <c r="B251" i="1"/>
  <c r="E250" i="1"/>
  <c r="H250" i="1"/>
  <c r="B250" i="1"/>
  <c r="E249" i="1"/>
  <c r="B249" i="1"/>
  <c r="J248" i="1"/>
  <c r="H248" i="1"/>
  <c r="E248" i="1"/>
  <c r="I248" i="1"/>
  <c r="B248" i="1"/>
  <c r="J247" i="1"/>
  <c r="I247" i="1"/>
  <c r="E247" i="1"/>
  <c r="H247" i="1"/>
  <c r="B247" i="1"/>
  <c r="J246" i="1"/>
  <c r="H246" i="1"/>
  <c r="E246" i="1"/>
  <c r="I246" i="1"/>
  <c r="B246" i="1"/>
  <c r="J245" i="1"/>
  <c r="H245" i="1"/>
  <c r="E245" i="1"/>
  <c r="I245" i="1"/>
  <c r="B245" i="1"/>
  <c r="J244" i="1"/>
  <c r="I244" i="1"/>
  <c r="E244" i="1"/>
  <c r="H244" i="1"/>
  <c r="B244" i="1"/>
  <c r="J243" i="1"/>
  <c r="E243" i="1"/>
  <c r="B243" i="1"/>
  <c r="E242" i="1"/>
  <c r="I242" i="1"/>
  <c r="B242" i="1"/>
  <c r="I241" i="1"/>
  <c r="H241" i="1"/>
  <c r="E241" i="1"/>
  <c r="J241" i="1"/>
  <c r="B241" i="1"/>
  <c r="E240" i="1"/>
  <c r="J240" i="1"/>
  <c r="B240" i="1"/>
  <c r="J239" i="1"/>
  <c r="I239" i="1"/>
  <c r="H239" i="1"/>
  <c r="E239" i="1"/>
  <c r="B239" i="1"/>
  <c r="E238" i="1"/>
  <c r="B238" i="1"/>
  <c r="E237" i="1"/>
  <c r="J237" i="1"/>
  <c r="B237" i="1"/>
  <c r="E236" i="1"/>
  <c r="B236" i="1"/>
  <c r="E235" i="1"/>
  <c r="H235" i="1"/>
  <c r="B235" i="1"/>
  <c r="E234" i="1"/>
  <c r="B234" i="1"/>
  <c r="E233" i="1"/>
  <c r="B233" i="1"/>
  <c r="E232" i="1"/>
  <c r="I232" i="1"/>
  <c r="B232" i="1"/>
  <c r="J231" i="1"/>
  <c r="I231" i="1"/>
  <c r="H231" i="1"/>
  <c r="E231" i="1"/>
  <c r="B231" i="1"/>
  <c r="E230" i="1"/>
  <c r="J230" i="1"/>
  <c r="B230" i="1"/>
  <c r="J229" i="1"/>
  <c r="H229" i="1"/>
  <c r="E229" i="1"/>
  <c r="I229" i="1"/>
  <c r="B229" i="1"/>
  <c r="E228" i="1"/>
  <c r="J228" i="1"/>
  <c r="B228" i="1"/>
  <c r="J227" i="1"/>
  <c r="E227" i="1"/>
  <c r="B227" i="1"/>
  <c r="J226" i="1"/>
  <c r="H226" i="1"/>
  <c r="E226" i="1"/>
  <c r="I226" i="1"/>
  <c r="B226" i="1"/>
  <c r="I225" i="1"/>
  <c r="E225" i="1"/>
  <c r="J225" i="1"/>
  <c r="B225" i="1"/>
  <c r="J224" i="1"/>
  <c r="I224" i="1"/>
  <c r="E224" i="1"/>
  <c r="H224" i="1"/>
  <c r="B224" i="1"/>
  <c r="J223" i="1"/>
  <c r="H223" i="1"/>
  <c r="E223" i="1"/>
  <c r="I223" i="1"/>
  <c r="B223" i="1"/>
  <c r="E222" i="1"/>
  <c r="H222" i="1"/>
  <c r="B222" i="1"/>
  <c r="E221" i="1"/>
  <c r="J221" i="1"/>
  <c r="B221" i="1"/>
  <c r="E220" i="1"/>
  <c r="B220" i="1"/>
  <c r="E219" i="1"/>
  <c r="H219" i="1"/>
  <c r="B219" i="1"/>
  <c r="H218" i="1"/>
  <c r="E218" i="1"/>
  <c r="B218" i="1"/>
  <c r="E217" i="1"/>
  <c r="B217" i="1"/>
  <c r="J216" i="1"/>
  <c r="I216" i="1"/>
  <c r="H216" i="1"/>
  <c r="E216" i="1"/>
  <c r="B216" i="1"/>
  <c r="J215" i="1"/>
  <c r="I215" i="1"/>
  <c r="H215" i="1"/>
  <c r="E215" i="1"/>
  <c r="B215" i="1"/>
  <c r="J214" i="1"/>
  <c r="I214" i="1"/>
  <c r="H214" i="1"/>
  <c r="E214" i="1"/>
  <c r="B214" i="1"/>
  <c r="E213" i="1"/>
  <c r="B213" i="1"/>
  <c r="E212" i="1"/>
  <c r="J212" i="1"/>
  <c r="B212" i="1"/>
  <c r="E211" i="1"/>
  <c r="B211" i="1"/>
  <c r="J210" i="1"/>
  <c r="E210" i="1"/>
  <c r="I210" i="1"/>
  <c r="B210" i="1"/>
  <c r="E209" i="1"/>
  <c r="B209" i="1"/>
  <c r="J208" i="1"/>
  <c r="I208" i="1"/>
  <c r="H208" i="1"/>
  <c r="E208" i="1"/>
  <c r="B208" i="1"/>
  <c r="J207" i="1"/>
  <c r="I207" i="1"/>
  <c r="E207" i="1"/>
  <c r="H207" i="1"/>
  <c r="B207" i="1"/>
  <c r="J206" i="1"/>
  <c r="I206" i="1"/>
  <c r="E206" i="1"/>
  <c r="H206" i="1"/>
  <c r="B206" i="1"/>
  <c r="J205" i="1"/>
  <c r="I205" i="1"/>
  <c r="H205" i="1"/>
  <c r="E205" i="1"/>
  <c r="B205" i="1"/>
  <c r="I204" i="1"/>
  <c r="E204" i="1"/>
  <c r="B204" i="1"/>
  <c r="E203" i="1"/>
  <c r="B203" i="1"/>
  <c r="E202" i="1"/>
  <c r="H202" i="1"/>
  <c r="B202" i="1"/>
  <c r="E201" i="1"/>
  <c r="B201" i="1"/>
  <c r="E200" i="1"/>
  <c r="H200" i="1"/>
  <c r="B200" i="1"/>
  <c r="J199" i="1"/>
  <c r="I199" i="1"/>
  <c r="H199" i="1"/>
  <c r="E199" i="1"/>
  <c r="B199" i="1"/>
  <c r="E198" i="1"/>
  <c r="J198" i="1"/>
  <c r="B198" i="1"/>
  <c r="E197" i="1"/>
  <c r="B197" i="1"/>
  <c r="E196" i="1"/>
  <c r="I196" i="1"/>
  <c r="B196" i="1"/>
  <c r="E195" i="1"/>
  <c r="B195" i="1"/>
  <c r="J194" i="1"/>
  <c r="H194" i="1"/>
  <c r="E194" i="1"/>
  <c r="I194" i="1"/>
  <c r="B194" i="1"/>
  <c r="E193" i="1"/>
  <c r="B193" i="1"/>
  <c r="J192" i="1"/>
  <c r="I192" i="1"/>
  <c r="H192" i="1"/>
  <c r="E192" i="1"/>
  <c r="B192" i="1"/>
  <c r="E191" i="1"/>
  <c r="J191" i="1"/>
  <c r="B191" i="1"/>
  <c r="E190" i="1"/>
  <c r="H190" i="1"/>
  <c r="B190" i="1"/>
  <c r="E189" i="1"/>
  <c r="J189" i="1"/>
  <c r="B189" i="1"/>
  <c r="E188" i="1"/>
  <c r="B188" i="1"/>
  <c r="E187" i="1"/>
  <c r="B187" i="1"/>
  <c r="E186" i="1"/>
  <c r="H186" i="1"/>
  <c r="B186" i="1"/>
  <c r="E185" i="1"/>
  <c r="B185" i="1"/>
  <c r="J184" i="1"/>
  <c r="I184" i="1"/>
  <c r="H184" i="1"/>
  <c r="E184" i="1"/>
  <c r="B184" i="1"/>
  <c r="J183" i="1"/>
  <c r="I183" i="1"/>
  <c r="H183" i="1"/>
  <c r="E183" i="1"/>
  <c r="B183" i="1"/>
  <c r="J182" i="1"/>
  <c r="I182" i="1"/>
  <c r="H182" i="1"/>
  <c r="E182" i="1"/>
  <c r="B182" i="1"/>
  <c r="E181" i="1"/>
  <c r="I181" i="1"/>
  <c r="B181" i="1"/>
  <c r="J180" i="1"/>
  <c r="I180" i="1"/>
  <c r="E180" i="1"/>
  <c r="H180" i="1"/>
  <c r="B180" i="1"/>
  <c r="E179" i="1"/>
  <c r="J179" i="1"/>
  <c r="B179" i="1"/>
  <c r="E178" i="1"/>
  <c r="I178" i="1"/>
  <c r="B178" i="1"/>
  <c r="E177" i="1"/>
  <c r="J177" i="1"/>
  <c r="B177" i="1"/>
  <c r="E176" i="1"/>
  <c r="J176" i="1"/>
  <c r="B176" i="1"/>
  <c r="J175" i="1"/>
  <c r="E175" i="1"/>
  <c r="I175" i="1"/>
  <c r="B175" i="1"/>
  <c r="I174" i="1"/>
  <c r="E174" i="1"/>
  <c r="H174" i="1"/>
  <c r="B174" i="1"/>
  <c r="E173" i="1"/>
  <c r="B173" i="1"/>
  <c r="I172" i="1"/>
  <c r="E172" i="1"/>
  <c r="B172" i="1"/>
  <c r="E171" i="1"/>
  <c r="H171" i="1"/>
  <c r="B171" i="1"/>
  <c r="E170" i="1"/>
  <c r="H170" i="1"/>
  <c r="B170" i="1"/>
  <c r="H169" i="1"/>
  <c r="E169" i="1"/>
  <c r="B169" i="1"/>
  <c r="J168" i="1"/>
  <c r="I168" i="1"/>
  <c r="H168" i="1"/>
  <c r="E168" i="1"/>
  <c r="B168" i="1"/>
  <c r="J167" i="1"/>
  <c r="I167" i="1"/>
  <c r="E167" i="1"/>
  <c r="H167" i="1"/>
  <c r="B167" i="1"/>
  <c r="J166" i="1"/>
  <c r="I166" i="1"/>
  <c r="H166" i="1"/>
  <c r="E166" i="1"/>
  <c r="B166" i="1"/>
  <c r="E165" i="1"/>
  <c r="I165" i="1"/>
  <c r="B165" i="1"/>
  <c r="J164" i="1"/>
  <c r="I164" i="1"/>
  <c r="H164" i="1"/>
  <c r="E164" i="1"/>
  <c r="B164" i="1"/>
  <c r="E163" i="1"/>
  <c r="B163" i="1"/>
  <c r="E162" i="1"/>
  <c r="I162" i="1"/>
  <c r="B162" i="1"/>
  <c r="E161" i="1"/>
  <c r="J161" i="1"/>
  <c r="B161" i="1"/>
  <c r="J160" i="1"/>
  <c r="H160" i="1"/>
  <c r="E160" i="1"/>
  <c r="I160" i="1"/>
  <c r="B160" i="1"/>
  <c r="J159" i="1"/>
  <c r="I159" i="1"/>
  <c r="E159" i="1"/>
  <c r="H159" i="1"/>
  <c r="B159" i="1"/>
  <c r="E158" i="1"/>
  <c r="H158" i="1"/>
  <c r="B158" i="1"/>
  <c r="E157" i="1"/>
  <c r="B157" i="1"/>
  <c r="I156" i="1"/>
  <c r="E156" i="1"/>
  <c r="B156" i="1"/>
  <c r="E155" i="1"/>
  <c r="H155" i="1"/>
  <c r="B155" i="1"/>
  <c r="E154" i="1"/>
  <c r="H154" i="1"/>
  <c r="B154" i="1"/>
  <c r="I153" i="1"/>
  <c r="E153" i="1"/>
  <c r="J153" i="1"/>
  <c r="B153" i="1"/>
  <c r="J152" i="1"/>
  <c r="I152" i="1"/>
  <c r="H152" i="1"/>
  <c r="E152" i="1"/>
  <c r="B152" i="1"/>
  <c r="J151" i="1"/>
  <c r="I151" i="1"/>
  <c r="E151" i="1"/>
  <c r="H151" i="1"/>
  <c r="B151" i="1"/>
  <c r="J150" i="1"/>
  <c r="I150" i="1"/>
  <c r="H150" i="1"/>
  <c r="E150" i="1"/>
  <c r="B150" i="1"/>
  <c r="E149" i="1"/>
  <c r="I149" i="1"/>
  <c r="B149" i="1"/>
  <c r="J148" i="1"/>
  <c r="I148" i="1"/>
  <c r="E148" i="1"/>
  <c r="H148" i="1"/>
  <c r="B148" i="1"/>
  <c r="E147" i="1"/>
  <c r="J147" i="1"/>
  <c r="B147" i="1"/>
  <c r="E146" i="1"/>
  <c r="I146" i="1"/>
  <c r="B146" i="1"/>
  <c r="E145" i="1"/>
  <c r="J145" i="1"/>
  <c r="B145" i="1"/>
  <c r="E144" i="1"/>
  <c r="I144" i="1"/>
  <c r="B144" i="1"/>
  <c r="E143" i="1"/>
  <c r="J143" i="1"/>
  <c r="B143" i="1"/>
  <c r="E142" i="1"/>
  <c r="H142" i="1"/>
  <c r="B142" i="1"/>
  <c r="E141" i="1"/>
  <c r="J141" i="1"/>
  <c r="B141" i="1"/>
  <c r="E140" i="1"/>
  <c r="B140" i="1"/>
  <c r="E139" i="1"/>
  <c r="B139" i="1"/>
  <c r="H138" i="1"/>
  <c r="E138" i="1"/>
  <c r="B138" i="1"/>
  <c r="E137" i="1"/>
  <c r="J137" i="1"/>
  <c r="B137" i="1"/>
  <c r="E136" i="1"/>
  <c r="J136" i="1"/>
  <c r="B136" i="1"/>
  <c r="E135" i="1"/>
  <c r="J135" i="1"/>
  <c r="B135" i="1"/>
  <c r="E134" i="1"/>
  <c r="H134" i="1"/>
  <c r="B134" i="1"/>
  <c r="E133" i="1"/>
  <c r="B133" i="1"/>
  <c r="J132" i="1"/>
  <c r="E132" i="1"/>
  <c r="I132" i="1"/>
  <c r="B132" i="1"/>
  <c r="E131" i="1"/>
  <c r="B131" i="1"/>
  <c r="H130" i="1"/>
  <c r="E130" i="1"/>
  <c r="I130" i="1"/>
  <c r="B130" i="1"/>
  <c r="E129" i="1"/>
  <c r="B129" i="1"/>
  <c r="E128" i="1"/>
  <c r="J128" i="1"/>
  <c r="B128" i="1"/>
  <c r="E127" i="1"/>
  <c r="J127" i="1"/>
  <c r="B127" i="1"/>
  <c r="E126" i="1"/>
  <c r="H126" i="1"/>
  <c r="B126" i="1"/>
  <c r="E125" i="1"/>
  <c r="B125" i="1"/>
  <c r="I124" i="1"/>
  <c r="E124" i="1"/>
  <c r="B124" i="1"/>
  <c r="E123" i="1"/>
  <c r="H123" i="1"/>
  <c r="B123" i="1"/>
  <c r="E122" i="1"/>
  <c r="H122" i="1"/>
  <c r="B122" i="1"/>
  <c r="E121" i="1"/>
  <c r="J121" i="1"/>
  <c r="B121" i="1"/>
  <c r="I120" i="1"/>
  <c r="E120" i="1"/>
  <c r="H120" i="1"/>
  <c r="B120" i="1"/>
  <c r="J119" i="1"/>
  <c r="I119" i="1"/>
  <c r="E119" i="1"/>
  <c r="H119" i="1"/>
  <c r="B119" i="1"/>
  <c r="J118" i="1"/>
  <c r="E118" i="1"/>
  <c r="I118" i="1"/>
  <c r="B118" i="1"/>
  <c r="E117" i="1"/>
  <c r="I117" i="1"/>
  <c r="B117" i="1"/>
  <c r="E116" i="1"/>
  <c r="J116" i="1"/>
  <c r="B116" i="1"/>
  <c r="E115" i="1"/>
  <c r="B115" i="1"/>
  <c r="J114" i="1"/>
  <c r="H114" i="1"/>
  <c r="E114" i="1"/>
  <c r="I114" i="1"/>
  <c r="B114" i="1"/>
  <c r="E113" i="1"/>
  <c r="J113" i="1"/>
  <c r="B113" i="1"/>
  <c r="J112" i="1"/>
  <c r="I112" i="1"/>
  <c r="H112" i="1"/>
  <c r="E112" i="1"/>
  <c r="B112" i="1"/>
  <c r="J111" i="1"/>
  <c r="I111" i="1"/>
  <c r="H111" i="1"/>
  <c r="E111" i="1"/>
  <c r="B111" i="1"/>
  <c r="J110" i="1"/>
  <c r="I110" i="1"/>
  <c r="H110" i="1"/>
  <c r="E110" i="1"/>
  <c r="B110" i="1"/>
  <c r="J109" i="1"/>
  <c r="I109" i="1"/>
  <c r="E109" i="1"/>
  <c r="H109" i="1"/>
  <c r="B109" i="1"/>
  <c r="I108" i="1"/>
  <c r="E108" i="1"/>
  <c r="J108" i="1"/>
  <c r="B108" i="1"/>
  <c r="I107" i="1"/>
  <c r="E107" i="1"/>
  <c r="H107" i="1"/>
  <c r="B107" i="1"/>
  <c r="E106" i="1"/>
  <c r="I106" i="1"/>
  <c r="B106" i="1"/>
  <c r="E105" i="1"/>
  <c r="J105" i="1"/>
  <c r="B105" i="1"/>
  <c r="E104" i="1"/>
  <c r="J104" i="1"/>
  <c r="B104" i="1"/>
  <c r="J103" i="1"/>
  <c r="I103" i="1"/>
  <c r="H103" i="1"/>
  <c r="E103" i="1"/>
  <c r="B103" i="1"/>
  <c r="E102" i="1"/>
  <c r="J102" i="1"/>
  <c r="B102" i="1"/>
  <c r="J101" i="1"/>
  <c r="I101" i="1"/>
  <c r="E101" i="1"/>
  <c r="H101" i="1"/>
  <c r="B101" i="1"/>
  <c r="E100" i="1"/>
  <c r="J100" i="1"/>
  <c r="B100" i="1"/>
  <c r="E99" i="1"/>
  <c r="J99" i="1"/>
  <c r="B99" i="1"/>
  <c r="E98" i="1"/>
  <c r="B98" i="1"/>
  <c r="E97" i="1"/>
  <c r="J97" i="1"/>
  <c r="B97" i="1"/>
  <c r="J96" i="1"/>
  <c r="I96" i="1"/>
  <c r="H96" i="1"/>
  <c r="E96" i="1"/>
  <c r="B96" i="1"/>
  <c r="E95" i="1"/>
  <c r="H95" i="1"/>
  <c r="B95" i="1"/>
  <c r="J94" i="1"/>
  <c r="I94" i="1"/>
  <c r="H94" i="1"/>
  <c r="E94" i="1"/>
  <c r="B94" i="1"/>
  <c r="E93" i="1"/>
  <c r="J93" i="1"/>
  <c r="B93" i="1"/>
  <c r="E92" i="1"/>
  <c r="H92" i="1"/>
  <c r="B92" i="1"/>
  <c r="E91" i="1"/>
  <c r="B91" i="1"/>
  <c r="J90" i="1"/>
  <c r="H90" i="1"/>
  <c r="E90" i="1"/>
  <c r="I90" i="1"/>
  <c r="B90" i="1"/>
  <c r="E89" i="1"/>
  <c r="J89" i="1"/>
  <c r="B89" i="1"/>
  <c r="E88" i="1"/>
  <c r="J88" i="1"/>
  <c r="B88" i="1"/>
  <c r="E87" i="1"/>
  <c r="B87" i="1"/>
  <c r="J86" i="1"/>
  <c r="I86" i="1"/>
  <c r="H86" i="1"/>
  <c r="E86" i="1"/>
  <c r="B86" i="1"/>
  <c r="J85" i="1"/>
  <c r="I85" i="1"/>
  <c r="E85" i="1"/>
  <c r="H85" i="1"/>
  <c r="B85" i="1"/>
  <c r="I84" i="1"/>
  <c r="E84" i="1"/>
  <c r="J84" i="1"/>
  <c r="B84" i="1"/>
  <c r="E83" i="1"/>
  <c r="H83" i="1"/>
  <c r="B83" i="1"/>
  <c r="E82" i="1"/>
  <c r="I82" i="1"/>
  <c r="B82" i="1"/>
  <c r="E81" i="1"/>
  <c r="J81" i="1"/>
  <c r="B81" i="1"/>
  <c r="E80" i="1"/>
  <c r="B80" i="1"/>
  <c r="J79" i="1"/>
  <c r="I79" i="1"/>
  <c r="E79" i="1"/>
  <c r="H79" i="1"/>
  <c r="B79" i="1"/>
  <c r="E78" i="1"/>
  <c r="B78" i="1"/>
  <c r="J77" i="1"/>
  <c r="I77" i="1"/>
  <c r="H77" i="1"/>
  <c r="E77" i="1"/>
  <c r="B77" i="1"/>
  <c r="I76" i="1"/>
  <c r="E76" i="1"/>
  <c r="J76" i="1"/>
  <c r="B76" i="1"/>
  <c r="J75" i="1"/>
  <c r="I75" i="1"/>
  <c r="E75" i="1"/>
  <c r="H75" i="1"/>
  <c r="B75" i="1"/>
  <c r="J74" i="1"/>
  <c r="I74" i="1"/>
  <c r="H74" i="1"/>
  <c r="E74" i="1"/>
  <c r="B74" i="1"/>
  <c r="I73" i="1"/>
  <c r="E73" i="1"/>
  <c r="J73" i="1"/>
  <c r="B73" i="1"/>
  <c r="E72" i="1"/>
  <c r="H72" i="1"/>
  <c r="B72" i="1"/>
  <c r="E71" i="1"/>
  <c r="J71" i="1"/>
  <c r="B71" i="1"/>
  <c r="J70" i="1"/>
  <c r="E70" i="1"/>
  <c r="I70" i="1"/>
  <c r="B70" i="1"/>
  <c r="E69" i="1"/>
  <c r="B69" i="1"/>
  <c r="J68" i="1"/>
  <c r="H68" i="1"/>
  <c r="E68" i="1"/>
  <c r="I68" i="1"/>
  <c r="B68" i="1"/>
  <c r="E67" i="1"/>
  <c r="B67" i="1"/>
  <c r="E66" i="1"/>
  <c r="I66" i="1"/>
  <c r="B66" i="1"/>
  <c r="E65" i="1"/>
  <c r="B65" i="1"/>
  <c r="J64" i="1"/>
  <c r="E64" i="1"/>
  <c r="I64" i="1"/>
  <c r="B64" i="1"/>
  <c r="J63" i="1"/>
  <c r="I63" i="1"/>
  <c r="E63" i="1"/>
  <c r="H63" i="1"/>
  <c r="B63" i="1"/>
  <c r="E62" i="1"/>
  <c r="J62" i="1"/>
  <c r="B62" i="1"/>
  <c r="J61" i="1"/>
  <c r="I61" i="1"/>
  <c r="H61" i="1"/>
  <c r="E61" i="1"/>
  <c r="B61" i="1"/>
  <c r="E60" i="1"/>
  <c r="B60" i="1"/>
  <c r="E59" i="1"/>
  <c r="H59" i="1"/>
  <c r="B59" i="1"/>
  <c r="E58" i="1"/>
  <c r="J58" i="1"/>
  <c r="B58" i="1"/>
  <c r="E57" i="1"/>
  <c r="J57" i="1"/>
  <c r="B57" i="1"/>
  <c r="E56" i="1"/>
  <c r="B56" i="1"/>
  <c r="E55" i="1"/>
  <c r="J55" i="1"/>
  <c r="B55" i="1"/>
  <c r="E54" i="1"/>
  <c r="H54" i="1"/>
  <c r="B54" i="1"/>
  <c r="J53" i="1"/>
  <c r="I53" i="1"/>
  <c r="H53" i="1"/>
  <c r="E53" i="1"/>
  <c r="B53" i="1"/>
  <c r="E52" i="1"/>
  <c r="I52" i="1"/>
  <c r="B52" i="1"/>
  <c r="E51" i="1"/>
  <c r="J51" i="1"/>
  <c r="B51" i="1"/>
  <c r="E50" i="1"/>
  <c r="I50" i="1"/>
  <c r="B50" i="1"/>
  <c r="E49" i="1"/>
  <c r="B49" i="1"/>
  <c r="J48" i="1"/>
  <c r="I48" i="1"/>
  <c r="E48" i="1"/>
  <c r="H48" i="1"/>
  <c r="B48" i="1"/>
  <c r="J47" i="1"/>
  <c r="I47" i="1"/>
  <c r="H47" i="1"/>
  <c r="E47" i="1"/>
  <c r="B47" i="1"/>
  <c r="E46" i="1"/>
  <c r="J46" i="1"/>
  <c r="B46" i="1"/>
  <c r="E45" i="1"/>
  <c r="H45" i="1"/>
  <c r="B45" i="1"/>
  <c r="E44" i="1"/>
  <c r="H44" i="1"/>
  <c r="B44" i="1"/>
  <c r="J43" i="1"/>
  <c r="E43" i="1"/>
  <c r="H43" i="1"/>
  <c r="B43" i="1"/>
  <c r="I42" i="1"/>
  <c r="E42" i="1"/>
  <c r="J42" i="1"/>
  <c r="B42" i="1"/>
  <c r="I41" i="1"/>
  <c r="H41" i="1"/>
  <c r="E41" i="1"/>
  <c r="J41" i="1"/>
  <c r="B41" i="1"/>
  <c r="E40" i="1"/>
  <c r="J40" i="1"/>
  <c r="B40" i="1"/>
  <c r="E39" i="1"/>
  <c r="I39" i="1"/>
  <c r="B39" i="1"/>
  <c r="E38" i="1"/>
  <c r="B38" i="1"/>
  <c r="J37" i="1"/>
  <c r="E37" i="1"/>
  <c r="H37" i="1"/>
  <c r="B37" i="1"/>
  <c r="E36" i="1"/>
  <c r="J36" i="1"/>
  <c r="B36" i="1"/>
  <c r="E35" i="1"/>
  <c r="J35" i="1"/>
  <c r="B35" i="1"/>
  <c r="E34" i="1"/>
  <c r="B34" i="1"/>
  <c r="J33" i="1"/>
  <c r="I33" i="1"/>
  <c r="H33" i="1"/>
  <c r="E33" i="1"/>
  <c r="B33" i="1"/>
  <c r="J32" i="1"/>
  <c r="E32" i="1"/>
  <c r="I32" i="1"/>
  <c r="B32" i="1"/>
  <c r="J31" i="1"/>
  <c r="I31" i="1"/>
  <c r="E31" i="1"/>
  <c r="H31" i="1"/>
  <c r="B31" i="1"/>
  <c r="J30" i="1"/>
  <c r="E30" i="1"/>
  <c r="I30" i="1"/>
  <c r="B30" i="1"/>
  <c r="E29" i="1"/>
  <c r="B29" i="1"/>
  <c r="E28" i="1"/>
  <c r="H28" i="1"/>
  <c r="B28" i="1"/>
  <c r="E27" i="1"/>
  <c r="B27" i="1"/>
  <c r="E26" i="1"/>
  <c r="I26" i="1"/>
  <c r="B26" i="1"/>
  <c r="E25" i="1"/>
  <c r="J25" i="1"/>
  <c r="B25" i="1"/>
  <c r="E24" i="1"/>
  <c r="J24" i="1"/>
  <c r="B24" i="1"/>
  <c r="E23" i="1"/>
  <c r="H23" i="1"/>
  <c r="B23" i="1"/>
  <c r="E22" i="1"/>
  <c r="I22" i="1"/>
  <c r="B22" i="1"/>
  <c r="E21" i="1"/>
  <c r="J21" i="1"/>
  <c r="B21" i="1"/>
  <c r="E20" i="1"/>
  <c r="J20" i="1"/>
  <c r="B20" i="1"/>
  <c r="J19" i="1"/>
  <c r="I19" i="1"/>
  <c r="H19" i="1"/>
  <c r="E19" i="1"/>
  <c r="B19" i="1"/>
  <c r="E18" i="1"/>
  <c r="B18" i="1"/>
  <c r="E17" i="1"/>
  <c r="I17" i="1"/>
  <c r="B17" i="1"/>
  <c r="E16" i="1"/>
  <c r="B16" i="1"/>
  <c r="E15" i="1"/>
  <c r="I15" i="1"/>
  <c r="B15" i="1"/>
  <c r="E14" i="1"/>
  <c r="J14" i="1"/>
  <c r="B14" i="1"/>
  <c r="E13" i="1"/>
  <c r="H13" i="1"/>
  <c r="B13" i="1"/>
  <c r="J12" i="1"/>
  <c r="E12" i="1"/>
  <c r="I12" i="1"/>
  <c r="B12" i="1"/>
  <c r="E11" i="1"/>
  <c r="B11" i="1"/>
  <c r="J10" i="1"/>
  <c r="I10" i="1"/>
  <c r="E10" i="1"/>
  <c r="H10" i="1"/>
  <c r="B10" i="1"/>
  <c r="E9" i="1"/>
  <c r="J9" i="1"/>
  <c r="B9" i="1"/>
  <c r="E8" i="1"/>
  <c r="J8" i="1"/>
  <c r="B8" i="1"/>
  <c r="H7" i="1"/>
  <c r="E7" i="1"/>
  <c r="B7" i="1"/>
  <c r="I6" i="1"/>
  <c r="H6" i="1"/>
  <c r="E6" i="1"/>
  <c r="J6" i="1"/>
  <c r="B6" i="1"/>
  <c r="J5" i="1"/>
  <c r="I5" i="1"/>
  <c r="H5" i="1"/>
  <c r="E5" i="1"/>
  <c r="B5" i="1"/>
  <c r="E4" i="1"/>
  <c r="J4" i="1"/>
  <c r="B4" i="1"/>
  <c r="J3" i="1"/>
  <c r="I3" i="1"/>
  <c r="H3" i="1"/>
  <c r="E3" i="1"/>
  <c r="B3" i="1"/>
  <c r="E2" i="1"/>
  <c r="B2" i="1"/>
  <c r="J17" i="1" l="1"/>
  <c r="H127" i="1"/>
  <c r="I134" i="1"/>
  <c r="H136" i="1"/>
  <c r="H146" i="1"/>
  <c r="J190" i="1"/>
  <c r="H276" i="1"/>
  <c r="J290" i="1"/>
  <c r="H319" i="1"/>
  <c r="H321" i="1"/>
  <c r="H338" i="1"/>
  <c r="H15" i="1"/>
  <c r="H22" i="1"/>
  <c r="H39" i="1"/>
  <c r="I92" i="1"/>
  <c r="J106" i="1"/>
  <c r="I127" i="1"/>
  <c r="J134" i="1"/>
  <c r="I136" i="1"/>
  <c r="H144" i="1"/>
  <c r="J146" i="1"/>
  <c r="H178" i="1"/>
  <c r="H237" i="1"/>
  <c r="H253" i="1"/>
  <c r="H262" i="1"/>
  <c r="H295" i="1"/>
  <c r="I319" i="1"/>
  <c r="H336" i="1"/>
  <c r="J338" i="1"/>
  <c r="H162" i="1"/>
  <c r="J178" i="1"/>
  <c r="I237" i="1"/>
  <c r="I253" i="1"/>
  <c r="I262" i="1"/>
  <c r="I267" i="1"/>
  <c r="H288" i="1"/>
  <c r="I295" i="1"/>
  <c r="H303" i="1"/>
  <c r="I334" i="1"/>
  <c r="I336" i="1"/>
  <c r="H343" i="1"/>
  <c r="I13" i="1"/>
  <c r="J92" i="1"/>
  <c r="J13" i="1"/>
  <c r="J15" i="1"/>
  <c r="J22" i="1"/>
  <c r="H30" i="1"/>
  <c r="J39" i="1"/>
  <c r="I44" i="1"/>
  <c r="J142" i="1"/>
  <c r="J144" i="1"/>
  <c r="I158" i="1"/>
  <c r="J162" i="1"/>
  <c r="I176" i="1"/>
  <c r="J267" i="1"/>
  <c r="I288" i="1"/>
  <c r="I303" i="1"/>
  <c r="J334" i="1"/>
  <c r="I343" i="1"/>
  <c r="H176" i="1"/>
  <c r="H32" i="1"/>
  <c r="H64" i="1"/>
  <c r="I37" i="1"/>
  <c r="J44" i="1"/>
  <c r="H76" i="1"/>
  <c r="H118" i="1"/>
  <c r="J120" i="1"/>
  <c r="H132" i="1"/>
  <c r="J158" i="1"/>
  <c r="J174" i="1"/>
  <c r="H225" i="1"/>
  <c r="H272" i="1"/>
  <c r="J274" i="1"/>
  <c r="J286" i="1"/>
  <c r="H191" i="1"/>
  <c r="H198" i="1"/>
  <c r="I200" i="1"/>
  <c r="H221" i="1"/>
  <c r="H230" i="1"/>
  <c r="J232" i="1"/>
  <c r="J258" i="1"/>
  <c r="J277" i="1"/>
  <c r="H351" i="1"/>
  <c r="H57" i="1"/>
  <c r="I191" i="1"/>
  <c r="I198" i="1"/>
  <c r="J200" i="1"/>
  <c r="I221" i="1"/>
  <c r="I230" i="1"/>
  <c r="H240" i="1"/>
  <c r="J242" i="1"/>
  <c r="H256" i="1"/>
  <c r="J315" i="1"/>
  <c r="J322" i="1"/>
  <c r="I351" i="1"/>
  <c r="H358" i="1"/>
  <c r="I95" i="1"/>
  <c r="J52" i="1"/>
  <c r="I72" i="1"/>
  <c r="J83" i="1"/>
  <c r="J95" i="1"/>
  <c r="I97" i="1"/>
  <c r="J107" i="1"/>
  <c r="H128" i="1"/>
  <c r="J130" i="1"/>
  <c r="H135" i="1"/>
  <c r="H212" i="1"/>
  <c r="I240" i="1"/>
  <c r="I256" i="1"/>
  <c r="J306" i="1"/>
  <c r="H320" i="1"/>
  <c r="I358" i="1"/>
  <c r="J59" i="1"/>
  <c r="I28" i="1"/>
  <c r="H52" i="1"/>
  <c r="I83" i="1"/>
  <c r="H97" i="1"/>
  <c r="H14" i="1"/>
  <c r="H21" i="1"/>
  <c r="J72" i="1"/>
  <c r="H81" i="1"/>
  <c r="I128" i="1"/>
  <c r="I135" i="1"/>
  <c r="H143" i="1"/>
  <c r="I212" i="1"/>
  <c r="I219" i="1"/>
  <c r="J254" i="1"/>
  <c r="H294" i="1"/>
  <c r="H296" i="1"/>
  <c r="I320" i="1"/>
  <c r="H335" i="1"/>
  <c r="H349" i="1"/>
  <c r="J28" i="1"/>
  <c r="H12" i="1"/>
  <c r="I14" i="1"/>
  <c r="I21" i="1"/>
  <c r="H26" i="1"/>
  <c r="H50" i="1"/>
  <c r="H70" i="1"/>
  <c r="I81" i="1"/>
  <c r="H105" i="1"/>
  <c r="I126" i="1"/>
  <c r="I143" i="1"/>
  <c r="H175" i="1"/>
  <c r="H196" i="1"/>
  <c r="J219" i="1"/>
  <c r="H263" i="1"/>
  <c r="H285" i="1"/>
  <c r="H287" i="1"/>
  <c r="I294" i="1"/>
  <c r="I296" i="1"/>
  <c r="H304" i="1"/>
  <c r="H333" i="1"/>
  <c r="I335" i="1"/>
  <c r="H342" i="1"/>
  <c r="H344" i="1"/>
  <c r="I349" i="1"/>
  <c r="H356" i="1"/>
  <c r="J26" i="1"/>
  <c r="I43" i="1"/>
  <c r="J50" i="1"/>
  <c r="I105" i="1"/>
  <c r="J196" i="1"/>
  <c r="H210" i="1"/>
  <c r="I304" i="1"/>
  <c r="H139" i="1"/>
  <c r="J139" i="1"/>
  <c r="I139" i="1"/>
  <c r="I211" i="1"/>
  <c r="H211" i="1"/>
  <c r="J211" i="1"/>
  <c r="J305" i="1"/>
  <c r="H305" i="1"/>
  <c r="I305" i="1"/>
  <c r="J357" i="1"/>
  <c r="I357" i="1"/>
  <c r="H357" i="1"/>
  <c r="I125" i="1"/>
  <c r="J125" i="1"/>
  <c r="H125" i="1"/>
  <c r="J38" i="1"/>
  <c r="I38" i="1"/>
  <c r="H38" i="1"/>
  <c r="J29" i="1"/>
  <c r="I29" i="1"/>
  <c r="H29" i="1"/>
  <c r="H324" i="1"/>
  <c r="J324" i="1"/>
  <c r="I324" i="1"/>
  <c r="I355" i="1"/>
  <c r="H355" i="1"/>
  <c r="J355" i="1"/>
  <c r="H65" i="1"/>
  <c r="I65" i="1"/>
  <c r="J65" i="1"/>
  <c r="J193" i="1"/>
  <c r="I193" i="1"/>
  <c r="H193" i="1"/>
  <c r="J265" i="1"/>
  <c r="I265" i="1"/>
  <c r="H265" i="1"/>
  <c r="J282" i="1"/>
  <c r="I282" i="1"/>
  <c r="H282" i="1"/>
  <c r="J353" i="1"/>
  <c r="H353" i="1"/>
  <c r="I353" i="1"/>
  <c r="I213" i="1"/>
  <c r="H213" i="1"/>
  <c r="J213" i="1"/>
  <c r="J60" i="1"/>
  <c r="I60" i="1"/>
  <c r="H60" i="1"/>
  <c r="J209" i="1"/>
  <c r="H209" i="1"/>
  <c r="I209" i="1"/>
  <c r="H27" i="1"/>
  <c r="J27" i="1"/>
  <c r="I27" i="1"/>
  <c r="H91" i="1"/>
  <c r="J91" i="1"/>
  <c r="I91" i="1"/>
  <c r="H251" i="1"/>
  <c r="J251" i="1"/>
  <c r="I251" i="1"/>
  <c r="J11" i="1"/>
  <c r="I11" i="1"/>
  <c r="H11" i="1"/>
  <c r="J45" i="1"/>
  <c r="I45" i="1"/>
  <c r="I195" i="1"/>
  <c r="H195" i="1"/>
  <c r="J195" i="1"/>
  <c r="J18" i="1"/>
  <c r="I18" i="1"/>
  <c r="H18" i="1"/>
  <c r="J56" i="1"/>
  <c r="H56" i="1"/>
  <c r="I56" i="1"/>
  <c r="I133" i="1"/>
  <c r="J133" i="1"/>
  <c r="H133" i="1"/>
  <c r="I34" i="1"/>
  <c r="J34" i="1"/>
  <c r="H34" i="1"/>
  <c r="I98" i="1"/>
  <c r="J98" i="1"/>
  <c r="H98" i="1"/>
  <c r="H203" i="1"/>
  <c r="I203" i="1"/>
  <c r="J203" i="1"/>
  <c r="H238" i="1"/>
  <c r="J238" i="1"/>
  <c r="I238" i="1"/>
  <c r="H187" i="1"/>
  <c r="J187" i="1"/>
  <c r="I187" i="1"/>
  <c r="I197" i="1"/>
  <c r="J197" i="1"/>
  <c r="H197" i="1"/>
  <c r="H318" i="1"/>
  <c r="J318" i="1"/>
  <c r="I318" i="1"/>
  <c r="I131" i="1"/>
  <c r="H131" i="1"/>
  <c r="J131" i="1"/>
  <c r="J157" i="1"/>
  <c r="I157" i="1"/>
  <c r="H157" i="1"/>
  <c r="I261" i="1"/>
  <c r="J261" i="1"/>
  <c r="H261" i="1"/>
  <c r="J316" i="1"/>
  <c r="H316" i="1"/>
  <c r="I316" i="1"/>
  <c r="J67" i="1"/>
  <c r="H67" i="1"/>
  <c r="I67" i="1"/>
  <c r="J234" i="1"/>
  <c r="I234" i="1"/>
  <c r="H234" i="1"/>
  <c r="J2" i="1"/>
  <c r="I2" i="1"/>
  <c r="H2" i="1"/>
  <c r="H299" i="1"/>
  <c r="J299" i="1"/>
  <c r="I299" i="1"/>
  <c r="J49" i="1"/>
  <c r="I49" i="1"/>
  <c r="H49" i="1"/>
  <c r="J80" i="1"/>
  <c r="I80" i="1"/>
  <c r="H80" i="1"/>
  <c r="J173" i="1"/>
  <c r="I173" i="1"/>
  <c r="H173" i="1"/>
  <c r="J236" i="1"/>
  <c r="H236" i="1"/>
  <c r="I236" i="1"/>
  <c r="J280" i="1"/>
  <c r="I280" i="1"/>
  <c r="H280" i="1"/>
  <c r="J16" i="1"/>
  <c r="I16" i="1"/>
  <c r="H16" i="1"/>
  <c r="J23" i="1"/>
  <c r="I23" i="1"/>
  <c r="J69" i="1"/>
  <c r="I69" i="1"/>
  <c r="H69" i="1"/>
  <c r="I259" i="1"/>
  <c r="H259" i="1"/>
  <c r="J259" i="1"/>
  <c r="J328" i="1"/>
  <c r="I328" i="1"/>
  <c r="H328" i="1"/>
  <c r="J54" i="1"/>
  <c r="I54" i="1"/>
  <c r="J78" i="1"/>
  <c r="I78" i="1"/>
  <c r="H78" i="1"/>
  <c r="J87" i="1"/>
  <c r="I87" i="1"/>
  <c r="H87" i="1"/>
  <c r="J217" i="1"/>
  <c r="I217" i="1"/>
  <c r="H217" i="1"/>
  <c r="I7" i="1"/>
  <c r="J7" i="1"/>
  <c r="J129" i="1"/>
  <c r="I129" i="1"/>
  <c r="H129" i="1"/>
  <c r="I115" i="1"/>
  <c r="H115" i="1"/>
  <c r="J268" i="1"/>
  <c r="H268" i="1"/>
  <c r="I291" i="1"/>
  <c r="H291" i="1"/>
  <c r="J297" i="1"/>
  <c r="I297" i="1"/>
  <c r="H297" i="1"/>
  <c r="J314" i="1"/>
  <c r="I314" i="1"/>
  <c r="I339" i="1"/>
  <c r="H339" i="1"/>
  <c r="J345" i="1"/>
  <c r="I345" i="1"/>
  <c r="H345" i="1"/>
  <c r="H25" i="1"/>
  <c r="H36" i="1"/>
  <c r="H141" i="1"/>
  <c r="H189" i="1"/>
  <c r="J360" i="1"/>
  <c r="I360" i="1"/>
  <c r="I163" i="1"/>
  <c r="H163" i="1"/>
  <c r="J220" i="1"/>
  <c r="H220" i="1"/>
  <c r="H100" i="1"/>
  <c r="J185" i="1"/>
  <c r="I185" i="1"/>
  <c r="I25" i="1"/>
  <c r="I36" i="1"/>
  <c r="I58" i="1"/>
  <c r="I89" i="1"/>
  <c r="I100" i="1"/>
  <c r="I113" i="1"/>
  <c r="J117" i="1"/>
  <c r="J123" i="1"/>
  <c r="I141" i="1"/>
  <c r="J169" i="1"/>
  <c r="I169" i="1"/>
  <c r="I189" i="1"/>
  <c r="J218" i="1"/>
  <c r="I218" i="1"/>
  <c r="I243" i="1"/>
  <c r="H243" i="1"/>
  <c r="J249" i="1"/>
  <c r="I249" i="1"/>
  <c r="H249" i="1"/>
  <c r="I257" i="1"/>
  <c r="J266" i="1"/>
  <c r="I266" i="1"/>
  <c r="I276" i="1"/>
  <c r="H9" i="1"/>
  <c r="H58" i="1"/>
  <c r="H89" i="1"/>
  <c r="H113" i="1"/>
  <c r="J115" i="1"/>
  <c r="H117" i="1"/>
  <c r="I123" i="1"/>
  <c r="I9" i="1"/>
  <c r="H93" i="1"/>
  <c r="H102" i="1"/>
  <c r="H121" i="1"/>
  <c r="H145" i="1"/>
  <c r="H149" i="1"/>
  <c r="I155" i="1"/>
  <c r="I171" i="1"/>
  <c r="H177" i="1"/>
  <c r="H181" i="1"/>
  <c r="J204" i="1"/>
  <c r="H204" i="1"/>
  <c r="H228" i="1"/>
  <c r="J201" i="1"/>
  <c r="I201" i="1"/>
  <c r="H201" i="1"/>
  <c r="H20" i="1"/>
  <c r="H62" i="1"/>
  <c r="H71" i="1"/>
  <c r="H82" i="1"/>
  <c r="I102" i="1"/>
  <c r="H104" i="1"/>
  <c r="I121" i="1"/>
  <c r="J163" i="1"/>
  <c r="I220" i="1"/>
  <c r="I222" i="1"/>
  <c r="I228" i="1"/>
  <c r="H232" i="1"/>
  <c r="J291" i="1"/>
  <c r="H293" i="1"/>
  <c r="J300" i="1"/>
  <c r="H300" i="1"/>
  <c r="I323" i="1"/>
  <c r="H323" i="1"/>
  <c r="J329" i="1"/>
  <c r="I329" i="1"/>
  <c r="H329" i="1"/>
  <c r="I331" i="1"/>
  <c r="H337" i="1"/>
  <c r="J339" i="1"/>
  <c r="H341" i="1"/>
  <c r="J348" i="1"/>
  <c r="H348" i="1"/>
  <c r="I350" i="1"/>
  <c r="H350" i="1"/>
  <c r="H4" i="1"/>
  <c r="H40" i="1"/>
  <c r="H51" i="1"/>
  <c r="I93" i="1"/>
  <c r="H137" i="1"/>
  <c r="I145" i="1"/>
  <c r="J149" i="1"/>
  <c r="J155" i="1"/>
  <c r="H161" i="1"/>
  <c r="H165" i="1"/>
  <c r="J171" i="1"/>
  <c r="I177" i="1"/>
  <c r="J181" i="1"/>
  <c r="I268" i="1"/>
  <c r="I270" i="1"/>
  <c r="I4" i="1"/>
  <c r="I20" i="1"/>
  <c r="I40" i="1"/>
  <c r="H42" i="1"/>
  <c r="I51" i="1"/>
  <c r="I62" i="1"/>
  <c r="I71" i="1"/>
  <c r="H73" i="1"/>
  <c r="J82" i="1"/>
  <c r="H84" i="1"/>
  <c r="I104" i="1"/>
  <c r="H106" i="1"/>
  <c r="H108" i="1"/>
  <c r="J124" i="1"/>
  <c r="H124" i="1"/>
  <c r="I137" i="1"/>
  <c r="H153" i="1"/>
  <c r="I161" i="1"/>
  <c r="J165" i="1"/>
  <c r="H185" i="1"/>
  <c r="J202" i="1"/>
  <c r="I202" i="1"/>
  <c r="J222" i="1"/>
  <c r="J270" i="1"/>
  <c r="H289" i="1"/>
  <c r="J293" i="1"/>
  <c r="H308" i="1"/>
  <c r="J331" i="1"/>
  <c r="I337" i="1"/>
  <c r="J341" i="1"/>
  <c r="H360" i="1"/>
  <c r="J188" i="1"/>
  <c r="H188" i="1"/>
  <c r="J252" i="1"/>
  <c r="H252" i="1"/>
  <c r="I275" i="1"/>
  <c r="H275" i="1"/>
  <c r="J281" i="1"/>
  <c r="I281" i="1"/>
  <c r="H281" i="1"/>
  <c r="I289" i="1"/>
  <c r="J298" i="1"/>
  <c r="I298" i="1"/>
  <c r="I308" i="1"/>
  <c r="J346" i="1"/>
  <c r="I346" i="1"/>
  <c r="I179" i="1"/>
  <c r="H179" i="1"/>
  <c r="J172" i="1"/>
  <c r="H172" i="1"/>
  <c r="I147" i="1"/>
  <c r="H147" i="1"/>
  <c r="J156" i="1"/>
  <c r="H156" i="1"/>
  <c r="H8" i="1"/>
  <c r="H24" i="1"/>
  <c r="H46" i="1"/>
  <c r="H88" i="1"/>
  <c r="H99" i="1"/>
  <c r="H116" i="1"/>
  <c r="J138" i="1"/>
  <c r="I138" i="1"/>
  <c r="J186" i="1"/>
  <c r="I186" i="1"/>
  <c r="I227" i="1"/>
  <c r="H227" i="1"/>
  <c r="J233" i="1"/>
  <c r="I233" i="1"/>
  <c r="H233" i="1"/>
  <c r="I235" i="1"/>
  <c r="J250" i="1"/>
  <c r="I250" i="1"/>
  <c r="H264" i="1"/>
  <c r="I300" i="1"/>
  <c r="I302" i="1"/>
  <c r="J323" i="1"/>
  <c r="H325" i="1"/>
  <c r="J332" i="1"/>
  <c r="H332" i="1"/>
  <c r="I348" i="1"/>
  <c r="J350" i="1"/>
  <c r="H35" i="1"/>
  <c r="H55" i="1"/>
  <c r="H66" i="1"/>
  <c r="I24" i="1"/>
  <c r="I35" i="1"/>
  <c r="J66" i="1"/>
  <c r="J140" i="1"/>
  <c r="H140" i="1"/>
  <c r="J122" i="1"/>
  <c r="I122" i="1"/>
  <c r="I8" i="1"/>
  <c r="H17" i="1"/>
  <c r="I46" i="1"/>
  <c r="I55" i="1"/>
  <c r="I88" i="1"/>
  <c r="I99" i="1"/>
  <c r="I116" i="1"/>
  <c r="J154" i="1"/>
  <c r="I154" i="1"/>
  <c r="J170" i="1"/>
  <c r="I170" i="1"/>
  <c r="J235" i="1"/>
  <c r="I264" i="1"/>
  <c r="J302" i="1"/>
  <c r="J325" i="1"/>
  <c r="I57" i="1"/>
  <c r="I59" i="1"/>
  <c r="J126" i="1"/>
  <c r="I140" i="1"/>
  <c r="I142" i="1"/>
  <c r="I188" i="1"/>
  <c r="I190" i="1"/>
  <c r="I252" i="1"/>
  <c r="I254" i="1"/>
  <c r="J275" i="1"/>
  <c r="H277" i="1"/>
  <c r="J284" i="1"/>
  <c r="H284" i="1"/>
  <c r="H298" i="1"/>
  <c r="I307" i="1"/>
  <c r="H307" i="1"/>
  <c r="J313" i="1"/>
  <c r="I313" i="1"/>
  <c r="H313" i="1"/>
  <c r="I315" i="1"/>
  <c r="I321" i="1"/>
  <c r="J330" i="1"/>
  <c r="I330" i="1"/>
  <c r="H346" i="1"/>
  <c r="H361" i="1"/>
  <c r="H242" i="1"/>
  <c r="H258" i="1"/>
  <c r="H274" i="1"/>
  <c r="H290" i="1"/>
  <c r="H306" i="1"/>
  <c r="H322" i="1"/>
  <c r="I361" i="1"/>
</calcChain>
</file>

<file path=xl/sharedStrings.xml><?xml version="1.0" encoding="utf-8"?>
<sst xmlns="http://schemas.openxmlformats.org/spreadsheetml/2006/main" count="1478" uniqueCount="1478">
  <si>
    <r>
      <rPr>
        <b/>
        <i/>
        <sz val="10"/>
        <color rgb="FFFF0000"/>
        <rFont val="Arial"/>
        <family val="2"/>
      </rPr>
      <t>*</t>
    </r>
    <r>
      <rPr>
        <b/>
        <i/>
        <sz val="10"/>
        <color rgb="FF2B6BA5"/>
        <rFont val="Arial"/>
        <family val="2"/>
      </rPr>
      <t xml:space="preserve"> CNPJ EMPRESA</t>
    </r>
  </si>
  <si>
    <r>
      <rPr>
        <b/>
        <i/>
        <sz val="10"/>
        <color rgb="FFFF0000"/>
        <rFont val="Arial"/>
        <family val="2"/>
      </rPr>
      <t>*</t>
    </r>
    <r>
      <rPr>
        <b/>
        <i/>
        <sz val="10"/>
        <color rgb="FF2B6BA5"/>
        <rFont val="Arial"/>
        <family val="2"/>
      </rPr>
      <t xml:space="preserve"> ADQUIRENTE DA PRODUÇÃO 
CNPJ / CAEPF</t>
    </r>
  </si>
  <si>
    <r>
      <rPr>
        <b/>
        <i/>
        <sz val="10"/>
        <color rgb="FFFF0000"/>
        <rFont val="Arial"/>
        <family val="2"/>
      </rPr>
      <t xml:space="preserve">* </t>
    </r>
    <r>
      <rPr>
        <b/>
        <i/>
        <sz val="10"/>
        <color rgb="FF2B6BA5"/>
        <rFont val="Arial"/>
        <family val="2"/>
      </rPr>
      <t xml:space="preserve">CNPJ / CPF DO PRODUTOR
</t>
    </r>
    <r>
      <rPr>
        <b/>
        <i/>
        <sz val="10"/>
        <color theme="5" tint="-0.249977111117893"/>
        <rFont val="Arial"/>
        <family val="2"/>
      </rPr>
      <t>Diferente do número de inscrição do declarante</t>
    </r>
  </si>
  <si>
    <r>
      <rPr>
        <b/>
        <i/>
        <sz val="11"/>
        <color rgb="FFFF0000"/>
        <rFont val="Aptos Narrow"/>
        <family val="2"/>
        <scheme val="minor"/>
      </rPr>
      <t xml:space="preserve">* </t>
    </r>
    <r>
      <rPr>
        <b/>
        <i/>
        <sz val="11"/>
        <color rgb="FF2B6BA5"/>
        <rFont val="Aptos Narrow"/>
        <family val="2"/>
        <scheme val="minor"/>
      </rPr>
      <t>PERÍODO APURAÇÃO
(MM/AAAA)</t>
    </r>
  </si>
  <si>
    <r>
      <rPr>
        <b/>
        <i/>
        <sz val="11"/>
        <color rgb="FF2B6BA5"/>
        <rFont val="Arial"/>
        <family val="2"/>
      </rPr>
      <t xml:space="preserve">Forma de tributação 
da contribuição previdenciária
</t>
    </r>
    <r>
      <rPr>
        <b/>
        <i/>
        <sz val="10"/>
        <color rgb="FF2B6BA5"/>
        <rFont val="Arial"/>
        <family val="2"/>
      </rPr>
      <t>Preencher com 'S'</t>
    </r>
    <r>
      <rPr>
        <b/>
        <i/>
        <sz val="11"/>
        <color rgb="FF2B6BA5"/>
        <rFont val="Arial"/>
        <family val="2"/>
      </rPr>
      <t xml:space="preserve">
</t>
    </r>
    <r>
      <rPr>
        <b/>
        <i/>
        <sz val="10"/>
        <color theme="5" tint="-0.249977111117893"/>
        <rFont val="Arial"/>
        <family val="2"/>
      </rPr>
      <t xml:space="preserve">Se a opção do produtor rural for pela comercialização da produção, este campo NÃO deve ser informado. </t>
    </r>
  </si>
  <si>
    <t xml:space="preserve">INDICATIVO DA AQUISIÇÃO PRODUÇÃO
Se CNPJ - deve ser igual a [3, 6]
Se CPF - deve ser igual a [1, 2, 4, 5, 7]
</t>
  </si>
  <si>
    <r>
      <rPr>
        <b/>
        <i/>
        <sz val="10"/>
        <color rgb="FFFF0000"/>
        <rFont val="Arial"/>
        <family val="2"/>
      </rPr>
      <t xml:space="preserve">* </t>
    </r>
    <r>
      <rPr>
        <b/>
        <i/>
        <sz val="10"/>
        <color rgb="FF2B6BA5"/>
        <rFont val="Arial"/>
        <family val="2"/>
      </rPr>
      <t>VALOR BRUTO</t>
    </r>
  </si>
  <si>
    <r>
      <t xml:space="preserve">VALOR DA CONTRIBUIÇÃO PREVIDENCIARIA DESCONTADA
</t>
    </r>
    <r>
      <rPr>
        <b/>
        <i/>
        <sz val="10"/>
        <color theme="5" tint="-0.249977111117893"/>
        <rFont val="Arial"/>
        <family val="2"/>
      </rPr>
      <t>Se não houver valor informar zero.</t>
    </r>
  </si>
  <si>
    <r>
      <t xml:space="preserve">VALOR DA CONTRIBUIÇÃO DESTINADA AO FINANCIAMENTO
</t>
    </r>
    <r>
      <rPr>
        <b/>
        <i/>
        <sz val="10"/>
        <color theme="5" tint="-0.249977111117893"/>
        <rFont val="Arial"/>
        <family val="2"/>
      </rPr>
      <t>Se não houver valor informar zero.</t>
    </r>
  </si>
  <si>
    <r>
      <t xml:space="preserve">VALOR DA CONTRIBUIÇÃO DESTINADA AO SENAR
</t>
    </r>
    <r>
      <rPr>
        <b/>
        <i/>
        <sz val="10"/>
        <color theme="5" tint="-0.249977111117893"/>
        <rFont val="Arial"/>
        <family val="2"/>
      </rPr>
      <t>Se não houver valor informar zero.</t>
    </r>
  </si>
  <si>
    <t>3 - Aquisição de produção de produtor rural pessoa jurídica por entidade executora do PAA.</t>
  </si>
  <si>
    <t>RELAÇÃO DEPENDENTE</t>
  </si>
  <si>
    <t>TIPO DE ISENÇÃO</t>
  </si>
  <si>
    <t>Indicativo do tipo de dedução:</t>
  </si>
  <si>
    <t>Código Tipo de Serviço</t>
  </si>
  <si>
    <t>TABELA 03 - INFORMÇÃO SOBRE OS BENEFICIÁRIO DO RENDIGOMENTO NO EXTERIOR</t>
  </si>
  <si>
    <t>Indicativo da aquisição</t>
  </si>
  <si>
    <t xml:space="preserve"> Preencher com o código de ajuste:</t>
  </si>
  <si>
    <t>TABELA 9</t>
  </si>
  <si>
    <t>1 - Cônjuge;</t>
  </si>
  <si>
    <t>1 - Parcela Isenta 65 anos;</t>
  </si>
  <si>
    <t>1 - Previdência oficial;</t>
  </si>
  <si>
    <t>100000001 - Limpeza, conservação ou zeladoria</t>
  </si>
  <si>
    <t>500 - A fonte pagadora é matriz da beneficiária no exterior.</t>
  </si>
  <si>
    <t>1 - Aquisição de produção de produtor rural pessoa física ou segurado especial em geral.</t>
  </si>
  <si>
    <t>1 - Ajuste da CPRB: Adoção do regime de caixa;</t>
  </si>
  <si>
    <t>00000025 - De TI e TIC referentes a: I - análise e desenvolvimento de sistemas; II -programação; III - processamento de dados e congêneres; IV - elaboração
de programas de computadores, inclusive de jogos eletrônicos; V -licenciamento ou cessão de direito de uso de programas de computação;
VI - assessoria e consultoria em informática; VII - suporte técnico em
informática, inclusive instalação, configuração e manutenção de
programas de computação e bancos de dados, bem como serviços de
suporte técnico em equipamentos de informática em geral; VIII -planejamento, confecção, manutenção e atualização de páginas
eletrônicas; e IX - execução continuada de procedimentos de preparação
ou processamento de dados de gestão empresarial, pública ou privada, e
gerenciamento de processos de clientes, com o uso combinado de mão de
obra e sistemas computacionais</t>
  </si>
  <si>
    <t>2 - Companheiro(a) com o(a) qual tenha filho ou viva há mais de 5 (cinco) anos ou possua declaração de união estável;</t>
  </si>
  <si>
    <t>2 - Diária de viagem;</t>
  </si>
  <si>
    <t>2 - Previdência privada;</t>
  </si>
  <si>
    <t>100000002 - Vigilância ou segurança</t>
  </si>
  <si>
    <t>510 - A fonte pagadora é filial, sucursal ou agência de beneficiária no exterior.</t>
  </si>
  <si>
    <t>2 - Aquisição de produção de produtor rural pessoa física ou segurado especial em geral por entidade executora do Programa de Aquisição de Alimentos - PAA.</t>
  </si>
  <si>
    <t>2 - Ajuste da CPRB: Diferimento de valores a recolher no período;</t>
  </si>
  <si>
    <t>00000030 - Serviços de call center</t>
  </si>
  <si>
    <t>3 - Filho(a) ou enteado(a);</t>
  </si>
  <si>
    <t>3 - Indenização e rescisão de contrato, inclusive a título de PDV e acidentes de trabalho;</t>
  </si>
  <si>
    <t>3 - Fundo de aposentadoria programada individual - Fapi;</t>
  </si>
  <si>
    <t>100000003 - Construção civil</t>
  </si>
  <si>
    <t>520 - A fonte pagadora é controlada ou coligada da beneficiária no exterior, na forma dos §§ 1º e 2º do art.</t>
  </si>
  <si>
    <t>3 - Adição de valores diferidos em período(s) anteriores(es);</t>
  </si>
  <si>
    <t>00000040 - Do setor hoteleiro enquadradas na subclasse 5510-8/01 (Hotéis e
Pousadas) da Classificação Nacional de Atividades Econômicas (CNAE
2.0)</t>
  </si>
  <si>
    <t>6 - Irmão(ã), neto(a) ou bisneto(a) sem arrimo dos pais, do(a) qual detenha a guarda judicial do(a) qual detenha a guarda judicial;</t>
  </si>
  <si>
    <t>4 - Abono pecuniário;</t>
  </si>
  <si>
    <t>4 - Fundação de previdência complementar do servidor público - Funpresp;</t>
  </si>
  <si>
    <t>100000004 - Serviços de natureza rural</t>
  </si>
  <si>
    <t>243 - da Lei nº 6.404, de 15 de dezembro de 1976.</t>
  </si>
  <si>
    <t>4 - Aquisição de produção de produtor rural pessoa física ou segurado especial em geral - Produção isenta (Lei 13.606/2018).</t>
  </si>
  <si>
    <t>4 - Exportações diretas;</t>
  </si>
  <si>
    <t>00000050 - Exerçam atividades de concepção, desenvolvimento ou projeto de
circuitos integrados</t>
  </si>
  <si>
    <t>9 - Avós e bisavós;</t>
  </si>
  <si>
    <t>5 - Valores pagos a titular ou sócio de microempresa ou empresa de pequeno porte, exceto pró-labore, alugueis e serviços prestados;</t>
  </si>
  <si>
    <t>5 - Pensão alimentícia;</t>
  </si>
  <si>
    <t>100000005 - Digitação</t>
  </si>
  <si>
    <t>530 - A fonte pagadora é controladora ou coligada da beneficiária no exterior, na forma dos §§ 1º e 2º do art. 243 da Lei nº 6.404, de 1976.</t>
  </si>
  <si>
    <t>5 - Aquisição de produção de produtor rural pessoa física ou segurado especial em geral por entidade executora do PAA - Produção isenta (Lei 13.606/2018).</t>
  </si>
  <si>
    <t>5 - Transporte internacional de cargas;</t>
  </si>
  <si>
    <t>00000060 - Serviços de transporte rodoviário coletivo de passageiros, com itinerário
fixo, municipal, intermunicipal em região metropolitana, intermunicipal,
interestadual e internacional enquadradas nas classes 4921-3 e 4922-1 da
CNAE 2.0</t>
  </si>
  <si>
    <t>10 - Menor pobre do qual detenha a guarda judicial;</t>
  </si>
  <si>
    <t>6 - Pensão, aposentadoria ou reforma por moléstia grave ou acidente em serviço;</t>
  </si>
  <si>
    <t>7 - Dependentes.</t>
  </si>
  <si>
    <t>100000006 - Preparação de dados para processamento</t>
  </si>
  <si>
    <t>540 - A fonte pagadora e a beneficiária no exterior estão sob controle societário ou administrativo comum ou quando pelo menos 10% do capital de cada uma, pertencer a uma mesma pessoa física ou jurídica.</t>
  </si>
  <si>
    <t>6 - Aquisição de produção de produtor rural pessoa jurídica por entidade executora do PAA - Produção isenta (Lei 13.606/2018).</t>
  </si>
  <si>
    <t>6 - Vendas canceladas e os descontos incondicionais concedidos;</t>
  </si>
  <si>
    <t>00000070 - II - de transporte aéreo de carga; III - de transporte aéreo de passageiros
regular; IV - de transporte marítimo de carga na navegação de
cabotagem; V - de transporte marítimo de passageiros na navegação de
cabotagem; VI - de transporte marítimo de carga na navegação de longo
curso; VII - de transporte marítimo de passageiros na navegação de longo
curso; VIII - de transporte por navegação interior de carga; IX - de
transporte por navegação interior de passageiros em linhas regulares;</t>
  </si>
  <si>
    <t>11 - A pessoa absolutamente incapaz, da qual seja tutor ou curador;</t>
  </si>
  <si>
    <t>7 - Complementação de aposentadoria, correspondente às contribuições efetuadas no período de 01/01/1989 a 31/12/1995;</t>
  </si>
  <si>
    <t>8 - Desconto simplificado mensal</t>
  </si>
  <si>
    <t>100000007 - Acabamento</t>
  </si>
  <si>
    <t>550 - A fonte pagadora e a beneficiária no exterior têm participação societária no capital de uma terceira pessoa jurídica, cuja soma as caracterize como controladoras ou coligadas na forma dos §§ 1º e 2º do art. 243 da Lei nº 6.404, de 1976.</t>
  </si>
  <si>
    <t>7 - Aquisição de produção de produtor rural pessoa física ou segurado especial para fins de exportação.</t>
  </si>
  <si>
    <t>7 - IPI, se incluído na receita bruta;</t>
  </si>
  <si>
    <t>00000071 - I - de manutenção e reparação de aeronaves, motores, componentes e
equipamentos correlatos</t>
  </si>
  <si>
    <t>12 - Ex-cônjuge;</t>
  </si>
  <si>
    <t>8 - Ajuda de custo;</t>
  </si>
  <si>
    <t>100000008 - Embalagem</t>
  </si>
  <si>
    <t>560 - A fonte pagadora ou a beneficiária no exterior mantenha contrato de exclusividade como agente, como distribuidor ou como concessionário nas operações com bens, serviços e direitos.</t>
  </si>
  <si>
    <t>8 - ICMS, quando cobrado pelo vendedor dos bens ou prestador dos serviços na condição de substituto tributário;</t>
  </si>
  <si>
    <t>00000072 - X - de navegação de apoio marítimo e de apoio portuário</t>
  </si>
  <si>
    <t>99 - Agregado/Outros.</t>
  </si>
  <si>
    <t>9 - Rendimentos pagos sem retenção do IR na fonte - Lei 10.833/2003;</t>
  </si>
  <si>
    <t>100000009 - Acondicionamento</t>
  </si>
  <si>
    <t>570 - A fonte pagadora e a beneficiária mantêm acordo de atuação conjunta.</t>
  </si>
  <si>
    <t>9 - Receita bruta reconhecida pela construção, recuperação, reforma, ampliação ou melhoramento da infraestrutura, cuja contrapartida seja ativo intangível representativo de direito de exploração, no caso e contratos de concessão de serviços públicos;</t>
  </si>
  <si>
    <t>00000080 - Empresas de manutenção e reparação de embarcações</t>
  </si>
  <si>
    <t>10 - Auxílio moradia;</t>
  </si>
  <si>
    <t>100000010 - Cobrança</t>
  </si>
  <si>
    <t>900 - Não há relação entre a fonte pagadora e a beneficiária no exterior.</t>
  </si>
  <si>
    <t>10 - O valor do aporte de recursos realizado nos termos do art 6 §3 inciso III da Lei 11.079/2004;</t>
  </si>
  <si>
    <t>00000091 - Empresas do setor de construção civil, enquadradas no grupo 412 da
CNAE 2.0 - Obras com matrícula CEI a partir de 01/12/2015</t>
  </si>
  <si>
    <t>99 - Outros (especificar).</t>
  </si>
  <si>
    <t>100000011 - Coleta ou reciclagem de lixo ou de resíduos</t>
  </si>
  <si>
    <t>11 - Demais ajustes oriundos da legislação tributária, estorno ou outras situações.</t>
  </si>
  <si>
    <t>00000092 - Empresas do setor de construção civil, enquadradas no grupo 432 da
CNAE 2.0 - Obras com matrícula CEI a partir de 01/12/2015</t>
  </si>
  <si>
    <t>100000012 - Copa</t>
  </si>
  <si>
    <t>00000093 - Empresas do setor de construção civil, enquadradas no grupo 433 da
CNAE 2.0 - Obras com matrícula CEI a partir de 01/12/2015</t>
  </si>
  <si>
    <t>100000013 - Hotelaria</t>
  </si>
  <si>
    <t>TABELA 02 -Forma de Tributação para rendimentos de beneficiários no Exterior</t>
  </si>
  <si>
    <t>00000094 - Empresas do setor de construção civil, enquadradas no grupo 439 da
CNAE 2.0 - Obras com matrícula CEI a partir de 01/12/2015</t>
  </si>
  <si>
    <t>100000014 - Corte ou ligação de serviços públicos</t>
  </si>
  <si>
    <t>10 - Retenção do IRRF - alíquota padrão.</t>
  </si>
  <si>
    <t>00000095 - Empresas do setor de construção civil, enquadradas no grupo 412 da
CNAE 2.0 - Obras com matrícula CEI até 30/11/2015</t>
  </si>
  <si>
    <t>100000015 - Distribuição</t>
  </si>
  <si>
    <t>11 - Retenção do IRRF - alíquota da tabela progressiva.</t>
  </si>
  <si>
    <t>00000096 - Empresas do setor de construção civil, enquadradas no grupo 432 da
CNAE 2.0 - Obras com matrícula CEI até 30/11/2015</t>
  </si>
  <si>
    <t>100000016 - Treinamento e ensino</t>
  </si>
  <si>
    <t>12 - Retenção do IRRF - alíquota diferenciada (países com tributação favorecida).</t>
  </si>
  <si>
    <t>00000097 - Empresas do setor de construção civil, enquadradas no grupo 433 da
CNAE 2.0 - Obras com matrícula CEI até 30/11/2015</t>
  </si>
  <si>
    <t>100000017 - Entrega de contas e de documentos</t>
  </si>
  <si>
    <t>13 - Retenção do IRRF - alíquota limitada conforme cláusula em convênio.</t>
  </si>
  <si>
    <t>00000098 - Empresas do setor de construção civil, enquadradas no grupo 439 da
CNAE 2.0 - Obras com matrícula CEI até 30/11/2015</t>
  </si>
  <si>
    <t>100000018 - Ligação de medidores</t>
  </si>
  <si>
    <t>30 - Retenção do IRRF - outras hipóteses.</t>
  </si>
  <si>
    <t>00000100 - Empresas de transporte ferroviário de passageiros, enquadradas nas
subclasses 4912-4/01 e 4912-4/02 da CNAE 2.0</t>
  </si>
  <si>
    <t>100000019 - Leitura de medidores</t>
  </si>
  <si>
    <t>40 - Não retenção do IRRF - isenção estabelecida em convênio.</t>
  </si>
  <si>
    <t>00000110 - Empresas de transporte metroferroviário de passageiros, enquadradas na
subclasse 4912-4/03 da CNAE 2.0</t>
  </si>
  <si>
    <t>100000020 - Manutenção de instalações, de máquinas ou de equipamentos</t>
  </si>
  <si>
    <t>41 - Não retenção do IRRF - isenção prevista em lei interna</t>
  </si>
  <si>
    <t>00000120 - Empresas de construção de obras de infraestrutura, enquadradas nos
grupos 421, 422, 429 e 431 da CNAE 2.0</t>
  </si>
  <si>
    <t>100000021 - Montagem</t>
  </si>
  <si>
    <t>42 - Não retenção do IRRF - alíquota Zero prevista em lei interna</t>
  </si>
  <si>
    <t>00000130 - Que realizam operações de carga, descarga e armazenagem de
contêineres em portos organizados, enquadradas nas classes 5212-5 e
5231-1 da CNAE 2.0</t>
  </si>
  <si>
    <t>100000022 - Operação de máquinas, de equipamentos e de veículos</t>
  </si>
  <si>
    <t>43 - Não retenção do IRRF - pagamento antecipado do imposto</t>
  </si>
  <si>
    <t>00000140 - De transporte rodoviário de cargas, enquadradas na classe 4930-2 da
CNAE 2.0</t>
  </si>
  <si>
    <t>100000023 - Operação de pedágio ou de terminal de transporte</t>
  </si>
  <si>
    <t>44 - Não retenção do IRRF - medida Judicial</t>
  </si>
  <si>
    <t>00000150 - De transporte ferroviário de cargas, enquadradas na classe 4911-6 da
CNAE 2.0</t>
  </si>
  <si>
    <t>100000024 - Operação de transporte de passageiros</t>
  </si>
  <si>
    <t>50 - Não retenção do IRRF - outras hipóteses</t>
  </si>
  <si>
    <t>00000200 - Empresas jornalísticas e de radiodifusão sonora e de sons e imagens de
que trata a Lei no 10.610, de 20 de dezembro de 2002, enquadradas nas
classes 1811-3, 5811-5, 5812-3, 5813-1, 5822-1, 5823-9, 6010-1, 6021-7
e 6319-4 da CNAE 2.0</t>
  </si>
  <si>
    <t>100000025 - Portaria, recepção ou ascensorista</t>
  </si>
  <si>
    <t>00100010 - Lojas de departamentos ou magazines, enquadradas na Subclasse CNAE
4713-0/01</t>
  </si>
  <si>
    <t>100000026 - Recepção, triagem ou movimentação de materiais</t>
  </si>
  <si>
    <t>00100020 - Comércio varejista de materiais de construção, enquadrado na Subclasse
CNAE 4744-0/05</t>
  </si>
  <si>
    <t>100000027 - Promoção de vendas ou de eventos</t>
  </si>
  <si>
    <t>00100030 - Comércio varejista de materiais de construção em geral, enquadrado na
Subclasse CNAE 4744-0/99</t>
  </si>
  <si>
    <t>100000028 - Secretaria e expediente</t>
  </si>
  <si>
    <t>00100040 - Comércio varejista especializado de equipamentos e suprimentos de
informática, enquadrado na Classe CNAE 4751-2</t>
  </si>
  <si>
    <t>100000029 - Saúde</t>
  </si>
  <si>
    <t>00100050 - Comércio varejista especializado de equipamentos de telefonia e
comunicação, enquadrado na Classe CNAE 4752-1</t>
  </si>
  <si>
    <t>100000030 - Telefonia ou telemarketing</t>
  </si>
  <si>
    <t>00100060 - Comércio varejista especializado de eletrodomésticos e equipamentos de
áudio e vídeo, enquadrado na Classe CNAE 4753-9</t>
  </si>
  <si>
    <t>100000031 - Trabalho temporário na forma da Lei nº 6.019, de janeiro de 1974</t>
  </si>
  <si>
    <t>00100070 - Comércio varejista de móveis, enquadrado na Subclasse CNAE 4754-7/01</t>
  </si>
  <si>
    <t>00100080 - Comércio varejista especializado de tecidos e artigos de cama, mesa e
banho, enquadrado na Classe CNAE 4755-5</t>
  </si>
  <si>
    <t>00100090 - Comércio varejista de outros artigos de uso doméstico, enquadrado na
Classe CNAE 4759-8</t>
  </si>
  <si>
    <t>00100100 - Comércio varejista de livros, jornais, revistas e papelaria, enquadrado na
Classe CNAE 4761-0</t>
  </si>
  <si>
    <t>00100110 - Comércio varejista de discos, CDs, DVDs e fitas, enquadrado na Classe
CNAE 4762-8</t>
  </si>
  <si>
    <t>00100120 - Comércio varejista de brinquedos e artigos recreativos, enquadrado na
Subclasse CNAE 4763-6/01</t>
  </si>
  <si>
    <t>00100130 - Comércio varejista de artigos esportivos, enquadrado na Subclasse
CNAE 4763-6/02</t>
  </si>
  <si>
    <t>00100150 - Comércio varejista de cosméticos, produtos de perfumaria e de higiene
pessoal, enquadrado na Classe CNAE 4772-5</t>
  </si>
  <si>
    <t>00100160 - Comércio varejista de artigos do vestuário e acessórios, enquadrado na
Classe CNAE 4781-4</t>
  </si>
  <si>
    <t>00100170 - Comércio varejista de calçados e artigos de viagem, enquadrado na
Classe CNAE 4782-2</t>
  </si>
  <si>
    <t>00100180 - Comércio varejista de produtos saneantes domissanitários, enquadrado na
Subclasse CNAE 4789-0/05</t>
  </si>
  <si>
    <t>00100190 - Comércio varejista de artigos fotográficos e para filmagem, enquadrado
na Subclasse CNAE 4789-0/08</t>
  </si>
  <si>
    <t>02030000 - Carnes de animais da espécie suína, frescas, refrigeradas ou congeladas</t>
  </si>
  <si>
    <t>02060000 - Carnes de animais das espécies cavalar, asinina e muar, frescas,
refrigeradas ou congeladas</t>
  </si>
  <si>
    <t>02063000 - Miudezas comestíveis de animais da espécie suína, frescas ou
refrigeradas.</t>
  </si>
  <si>
    <t>02064000 - Miudezas comestíveis de animais da espécie suína, congeladas.</t>
  </si>
  <si>
    <t>02070000 - Carnes e miudezas, comestíveis, frescas, refrigeradas ou congeladas, das
aves da posição 01.05.</t>
  </si>
  <si>
    <t>02090000 - Toucinho sem partes magras, gorduras de porco e de aves, não fundidas
nem extraídas de outro modo, frescos, refrigerados, congelados, salgados
ou em salmoura, secos ou defumados</t>
  </si>
  <si>
    <t>02101000 - Carnes da espécie suína</t>
  </si>
  <si>
    <t>02109900 - Carnes e miudezas, comestíveis, salgadas ou em salmoura, secas ou
defumadas; farinhas e pós, comestíveis, de carnes ou de miudezas.
Outras.</t>
  </si>
  <si>
    <t>03010000 - Peixes vivos.</t>
  </si>
  <si>
    <t>03020000 - Peixes frescos ou refrigerados, exceto os filés de peixes e outra carne de
peixes da posição 03.04</t>
  </si>
  <si>
    <t>03029000 - Outros -Fígados, ovas e sêmen</t>
  </si>
  <si>
    <t>03030000 - Peixes congelados, exceto os filés de peixes e outra carne de peixes da
posição 03.04.</t>
  </si>
  <si>
    <t>03040000 - Filés de peixes e outra carne de peixes (mesmo picada), frescos,
refrigerados ou congelados.</t>
  </si>
  <si>
    <t>03060000 - Crustáceos, com ou sem carapaça, vivos, frescos, refrigerados,
congelados, secos, salgados ou em salmoura; crustáceos, com ou sem
carapaça, defumados, mesmo cozidos antes ou durante a defumação;
crustáceos com carapaça, cozidos em água ou vapor, mesmo refrigerados,
congelados, secos, salgados ou em salmoura; farinhas, pós e pellets de
crustáceos, próprios para alimentação humana.</t>
  </si>
  <si>
    <t>03070000 - Moluscos, com ou sem concha, vivos, frescos, refrigerados, congelados,
secos, salgados ou em salmoura; moluscos, com ou sem concha,
defumados, mesmo cozidos antes ou durante a defumação; farinhas, pós e
pellets de moluscos, exceto crustáceos, próprios para alimentação
humana.</t>
  </si>
  <si>
    <t>05040000 - Tripas, bexigas e estômagos, de animais, inteiros ou em pedaços, exceto
de peixes, frescos, refrigerados, congelados, salgados ou em salmoura,
secos ou defumados</t>
  </si>
  <si>
    <t>05050000 - Peles e outras partes de aves, com as suas penas ou penugem, penas e
partes de penas (mesmo aparadas), penugem, em bruto ou simplesmente
limpas, desinfetadas ou preparadas tendo em vista a sua conservação; pós
e desperdícios de penas ou de partes de penas</t>
  </si>
  <si>
    <t>05070000 - Marfim, carapaças de tartaruga, barbas, incluindo as franjas, de baleia ou
de outros mamíferos marinhos, chifres, galhadas, cascos, unhas, garras e
bicos, em bruto ou simplesmente preparados, mas não cortados em forma
determinada; pós e desperdícios destas matérias</t>
  </si>
  <si>
    <t>05100000 - Âmbar-cinzento, castóreo, algália e almíscar; cantáridas; bílis, mesmo
seca; glândulas e outras substâncias de origem animal utilizadas na
preparação de produtos farmacêuticos, frescas, refrigeradas, congeladas
ou provisoriamente conservadas de outro modo</t>
  </si>
  <si>
    <t>05110000 - Produtos de origem animal, não especificados nem compreendidos
noutras posições; animais mortos dos capítulos 1 ou 3, impróprios para
alimentação humana</t>
  </si>
  <si>
    <t>12119090 - Plantas, partes de plantas, sementes e frutos, das espécies utilizadas
principalmente em perfumaria, medicina ou como inseticidas,
parasiticidas e semelhantes, frescos ou secos, mesmo cortados, triturados
ou em pó. Outros.</t>
  </si>
  <si>
    <t>16000000 - Preparações de carne, de peixes ou de crustáceos, de moluscos ou de
outros invertebrados aquáticos</t>
  </si>
  <si>
    <t>16010000 - Enchidos e produtos semelhantes, de carne, de miudezas ou de sangue;
preparações alimentícias à base de tais produtos</t>
  </si>
  <si>
    <t>16020000 - Outras preparações e conservas de carne, de miudezas ou de sangue</t>
  </si>
  <si>
    <t>16023000 - Ver descrição na tabela de incidência do ipi (tipi), conforme decreto nº
8.950/2016 e atualizações posteriores</t>
  </si>
  <si>
    <t>16024000 - Ver descrição na tabela de incidência do ipi (tipi), conforme decreto nº
8.950/2016 e atualizações posteriores</t>
  </si>
  <si>
    <t>19000000 - Preparações à base de cereais, farinhas, amidos, féculas ou leite; produtos
de pastelaria</t>
  </si>
  <si>
    <t>1901Ex01 - Ex 01 – pré-misturas próprias para fabricação de pão do tipo comum</t>
  </si>
  <si>
    <t>1905Ex01 - Ex 01 – pão do tipo comum</t>
  </si>
  <si>
    <t>21069030 - Preparações alimentícias não especificadas nem compreendidas em
outras posições. Complementos alimentares.</t>
  </si>
  <si>
    <t>21069090 - Preparações alimentícias não especificadas nem compreendidas em
outras posições. Outras.</t>
  </si>
  <si>
    <t>22029000 - Águas, incluídas as águas minerais e as águas gaseificadas, adicionadas
de açúcar ou de outros edulcorantes ou aromatizadas e outras bebidas não
alcoólicas, exceto sucos de frutas ou de produtos hortícolas, da posição
20.09. Outras.</t>
  </si>
  <si>
    <t>25010090 - Sal (incluídos o sal de mesa e o sal desnaturado) e cloreto de sódio puro,
mesmo em solução aquosa ou adicionados de agentes antiaglomerantes
ou de agentes que assegurem uma boa fluidez; água do mar. Outros.</t>
  </si>
  <si>
    <t>25151100 - Mármores e travertinos: em bruto ou desbastados</t>
  </si>
  <si>
    <t>25151210 - Mármores e travertinos: mármores</t>
  </si>
  <si>
    <t>25161100 - Granito: em bruto ou desbastado</t>
  </si>
  <si>
    <t>25161200 - Granito: simplesmente cortado a serra ou por outro meio, em blocos ou
placas de forma quadrada ou retangular</t>
  </si>
  <si>
    <t>25202010 - Gipsita; anidrita; gesso, mesmo corado ou adicionado de pequenas
quantidades de aceleradores ou retardadores. Gesso. Moído, apto para
uso odontológico.</t>
  </si>
  <si>
    <t>25202090 - Gipsita; anidrita; gesso, mesmo corado ou adicionado de pequenas
quantidades de aceleradores ou retardadores. Gesso. Outros.</t>
  </si>
  <si>
    <t>27079100 - Óleos e outros produtos provenientes da destilação dos alcatrões de hulha
a alta temperatura; produtos análogos em que os constituintes aromáticos
predominem, em peso, relativamente aos constituintes não aromáticos.
Óleos de creosoto.</t>
  </si>
  <si>
    <t>30010000 -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</si>
  <si>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30020000 - Sangue humano; sangue animal preparado para usos terapêuticos,
profiláticos ou de diagnóstico; anti-soros, outras frações do sangue e
produtos imunológicos, mesmo modificados ou obtidos por via
biotecnológica; vacinas, toxinas, culturas de microrganismos (exceto
leveduras) e produtos semelhantes</t>
  </si>
  <si>
    <t>30030000 - Medicamentos (exceto os produtos das posições 30.02, 30.05 ou 30.06)
constituídos por produtos misturados entre si, preparados para fins
terapêuticos ou profiláticos, mas não apresentados em doses nem
acondicionados para venda a retalho</t>
  </si>
  <si>
    <t>30040000 -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</si>
  <si>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30050000 - Pastas (ouates), gazes, ataduras e artigos análogos (por exemplo,
curativos (pensos), esparadrapos, sinapismos), impregnados ou
recobertos de substâncias farmacêuticas ou acondicionados para venda a
retalho para usos medicinais, cirúrgicos, dentários ou veterinários.</t>
  </si>
  <si>
    <t>30059090 - Outros (curativos e ataduras para usos medicinais, cirúrgicos, dentários
ou veterinários)</t>
  </si>
  <si>
    <t>30060000 - Preparações e artigos farmacêuticos indicados na nota 4 deste capítulo.</t>
  </si>
  <si>
    <t>32080000 - Tintas e vernizes, à base de polímeros sintéticos ou de polímeros naturais
modificados, dispersos ou dissolvidos em meio não aquoso; soluções
definidas na nota 4 do presente capítulo</t>
  </si>
  <si>
    <t>32090000 - Tintas e vernizes, à base de polímeros sintéticos ou de polímeros naturais
modificados, dispersos ou dissolvidos num meio aquoso.</t>
  </si>
  <si>
    <t>32140000 - Mástique de vidraceiro, cimentos de resina e outros mástiques; indutos
utilizados em pintura; indutos não refratários do tipo dos utilizados em
alvenaria.</t>
  </si>
  <si>
    <t>33030020 - Perfumes e águas-de-colônia. Águas-de-colônia.</t>
  </si>
  <si>
    <t>33040000 - Produtos de beleza ou de maquiagem preparados e preparações para
conservação ou cuidados da pele (exceto medicamentos), incluindo as
preparações anti-solares e os bronzeadores; preparações para manicuros e
pedicuros.</t>
  </si>
  <si>
    <t>33050000 - Preparações capilares.</t>
  </si>
  <si>
    <t>33060000 - Preparações para higiene bucal ou dentária, incluindo os pós e cremes
para facilitar a aderência de dentaduras; fios utilizados para limpar os
espaços interdentais (fios dentais), em embalagens individuais para venda
a retalho.</t>
  </si>
  <si>
    <t>33070000 -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com ou sem propriedades desinfetantes.</t>
  </si>
  <si>
    <t>34010000 - Sabões; produtos e preparações orgânicos tensoativos utilizados como
sabão, em barras, pães, pedaços ou figuras moldadas, mesmo que
contenham sabão; produtos e preparações orgânicos tensoativos para
lavagem da pele, em forma de líquido ou de creme, acondicionados para
venda a retalho, mesmo que contenham sabão; papel, pastas (ouates),
feltros e falsos tecidos, impregnados, revestidos ou recobertos de sabão
ou de detergentes.</t>
  </si>
  <si>
    <t>34070010 - Massas ou pastas para modelar, incluídas as próprias para recreação de
crianças; “ceras para dentistas” apresentadas em sortidos, em embalagens
para venda a retalho ou em placas, ferraduras, varetas ou formas
semelhantes; outras composições para dentistas</t>
  </si>
  <si>
    <t>34070020 - Massas ou pastas para modelar, incluídas as próprias para recreação de
crianças; “ceras para dentistas” apresentadas em sortidos, em embalagens
para venda a retalho ou em placas, ferraduras, varetas ou formas
semelhantes; outras composições para dentistas</t>
  </si>
  <si>
    <t>34070090 - Massas ou pastas para modelar, incluídas as próprias para recreação de
crianças; “ceras para dentistas” apresentadas em sortidos, em embalagens
para venda a retalho ou em placas, ferraduras, varetas ou formas
semelhantes; outras composições para dentistas</t>
  </si>
  <si>
    <t>37011010 - Chapas e filmes planos, fotográficos, sensibilizados, não impressionados,
de matérias diferentes do papel, do cartão ou dos têxteis; filmes
fotográficos planos, de revelação e copiagem instantâneas, sensibilizados,
não impressionados, mesmo em cartuchos.</t>
  </si>
  <si>
    <t>37011021 - Chapas e filmes planos, fotográficos, sensibilizados, não impressionados,
de matérias diferentes do papel, do cartão ou dos têxteis; filmes
fotográficos planos, de revelação e copiagem instantâneas, sensibilizados,
não impressionados, mesmo em cartuchos.</t>
  </si>
  <si>
    <t>37011029 - Chapas e filmes planos, fotográficos, sensibilizados, não impressionados,
de matérias diferentes do papel, do cartão ou dos têxteis; filmes
fotográficos planos, de revelação e copiagem instantâneas, sensibilizados,
não impressionados, mesmo em cartuchos.</t>
  </si>
  <si>
    <t>37021010 - Filmes fotográficos sensibilizados, não impressionados, em rolos, de
matérias diferentes do papel, do cartão ou dos têxteis; filmes fotográficos
de revelação e copiagem instantâneas, em rolos, sensibilizados, não
impressionados. Para raios x. Sensibilizad</t>
  </si>
  <si>
    <t>37021020 - Filmes fotográficos sensibilizados, não impressionados, em rolos, de
matérias diferentes do papel, do cartão ou dos têxteis; filmes fotográficos
de revelação e copiagem instantâneas, em rolos, sensibilizados, não
impressionados. Para raios x. Sensibilizad</t>
  </si>
  <si>
    <t>38080000 -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</si>
  <si>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38140000 - Solventes e diluentes orgânicos compostos, não especificados nem
compreendidos noutras posições; preparações concebidas para remover</t>
  </si>
  <si>
    <t>38151210 - Produtos diversos das industrias quimicas. Catalisadores em suporte - em
colméia cerâmica ou metálica para conversão catalítica de gases de
escape de veículos</t>
  </si>
  <si>
    <t>38190000 - fluídosfluídos para freios hidráulicos e outros líquidos preparados para
transmissões hidráulicas, não contendo óleos de petróleo nem de minerais
betuminosos, ou contendo-os em proporção inferior a 70%, em peso.</t>
  </si>
  <si>
    <t>38220010 - Reagentes de diagnóstico ou de laboratório em qualquer suporte e
reagentes de diagnóstico ou de laboratório preparados, mesmo
apresentados em um suporte, exceto os das posições 30.02 ou 30.06;
materiais de referência certificados. Reagentes para determina</t>
  </si>
  <si>
    <t>38220090 - Reagentes de diagnóstico ou de laboratório em qualquer suporte e
reagentes de diagnóstico ou de laboratório preparados, mesmo
apresentados em um suporte, exceto os das posições 30.02 ou 30.06;
materiais de referência certificados. Outros.</t>
  </si>
  <si>
    <t>39150000 - Desperdícios, resíduos e aparas, de plásticos.</t>
  </si>
  <si>
    <t>39160000 - Monofilamentos cuja maior dimensão do corte transversal seja superior a
1mm (monofios), varas, bastões e perfis, mesmo trabalhados à superfície
mas sem qualquer outro trabalho, de plásticos.</t>
  </si>
  <si>
    <t>39170000 - Tubos e seus acessórios (por exemplo, juntas, cotovelos, flanges, uniões),
de plásticos.</t>
  </si>
  <si>
    <t>39180000 - Revestimentos de pavimentos (pisos), de plásticos, mesmo auto-adesivos,
em rolos ou em forma de ladrilhos ou de mosaicos; revestimentos de
paredes ou de tetos, de plásticos, definidos na nota 9 do presente capítulo.</t>
  </si>
  <si>
    <t>39190000 - Chapas, folhas, tiras, fitas, películas e outras formas planas, auto-adesivas, de plásticos, mesmo em rolos.</t>
  </si>
  <si>
    <t>39200000 - Outras chapas, folhas, películas, tiras e lâminas, de plásticos não
alveolares, não reforçadas, não estratificadas, sem suporte, nem
associadas de forma semelhante a outras matérias.</t>
  </si>
  <si>
    <t>39210000 - Outras chapas, folhas, películas, tiras e lâminas, de plásticos.</t>
  </si>
  <si>
    <t>39220000 - Banheiras, boxes para chuveiros, pias, lavatórios, bidês, sanitários e seus
assentos e tampas, caixas de descarga e artigos semelhantes para usos
sanitários ou higiênicos, de plásticos.</t>
  </si>
  <si>
    <t>39230000 - Artigos de transporte ou de embalagem, de plásticos; rolhas, tampas,
cápsulas e outros dispositivos para fechar recipientes, de plásticos.</t>
  </si>
  <si>
    <t>3923Ex01 - Artigos de transporte ou de embalagem, de plásticos; rolhas, tampas,
cápsulas e outros dispositivos para fechar recipientes, de plásticos.</t>
  </si>
  <si>
    <t>39240000 - Serviços de mesa e outros artigos de uso doméstico, de higiene ou de
toucador, de plásticos.</t>
  </si>
  <si>
    <t>39250000 - Artefatos para apetrechamento de construções, de plásticos, não
especificados nem compreendidos em outras posições.</t>
  </si>
  <si>
    <t>39260000 - Outras obras de plásticos e obras de outras matérias das posições 39.01 a
39.14.</t>
  </si>
  <si>
    <t>39262000 - Ver descrição na tabela de incidência do ipi (tipi), conforme decreto nº
8.950/2016 e atualizações posteriores</t>
  </si>
  <si>
    <t>40061000 - Outras formas (por exemplo, varetas, tubos, perfis) e artigos (por
exemplo, discos, arruelas), de borracha não vulcanizada. Perfis para
recauchutagem.</t>
  </si>
  <si>
    <t>40091100 - Sem acessórios</t>
  </si>
  <si>
    <t>40091210 - Com uma pressão de ruptura superior ou igual a 17,3mpa</t>
  </si>
  <si>
    <t>40091290 - Outros</t>
  </si>
  <si>
    <t>40093100 - Sem acessórios</t>
  </si>
  <si>
    <t>40093210 - Com uma pressão de ruptura superior ou igual a 17,3mpa</t>
  </si>
  <si>
    <t>40093290 - Outros</t>
  </si>
  <si>
    <t>40094100 - Tubos de borracha vulcanizada - sem acessórios</t>
  </si>
  <si>
    <t>40094210 - Com uma pressão de ruptura superior ou igual a 17,3mpa</t>
  </si>
  <si>
    <t>40094290 - Outros</t>
  </si>
  <si>
    <t>40103100 - Correias de transmissão sem fim, de seção trapezoidal, estriadas, com
uma circunferência externa superior a 60cm, mas não superior a 180cm</t>
  </si>
  <si>
    <t>40103200 - Correias de transmissão sem fim, de seção trapezoidal, não estriadas,
com uma circunferência externa superior a 60cm, mas não superior a
180cm</t>
  </si>
  <si>
    <t>40103300 - Correias de transmissão sem fim, de seção trapezoidal, estriadas, com
uma circunferência externa superior a 180cm, mas não superior a 240cm</t>
  </si>
  <si>
    <t>40103400 - Correias de transmissão sem fim, de seção trapezoidal, não estriadas,
com uma circunferência externa superior a 180cm, mas não superior a
240cm</t>
  </si>
  <si>
    <t>40103500 - Correias de transmissão sem fim, síncronas, com uma circunferência
externa superior a 60cm, mas não superior a 150cm</t>
  </si>
  <si>
    <t>40103600 - Correias de transmissão sem fim, síncronas, com uma circunferência
externa superior a 150cm, mas não superior a 198cm</t>
  </si>
  <si>
    <t>40103900 - Outras</t>
  </si>
  <si>
    <t>40110000 - Pneumáticos novos de borracha.</t>
  </si>
  <si>
    <t>40129090 - Pneumáticos recauchutados ou usados, de borracha; protetores, bandas de
rodagem para pneumáticos e “flaps”, de borracha. Outros.</t>
  </si>
  <si>
    <t>40130000 - Câmaras de ar de borracha.</t>
  </si>
  <si>
    <t>40141000 - Artigos de higiene ou de farmácia (incluídas as chupetas), de borracha
vulcanizada não endurecida, mesmo com partes de borracha endurecida.
Preservativos.</t>
  </si>
  <si>
    <t>40149010 - Artigos de higiene ou de farmácia (incluídas as chupetas), de borracha
vulcanizada não endurecida, mesmo com partes de borracha endurecida.
Bolsas para gelo ou para água quente.</t>
  </si>
  <si>
    <t>40149090 - Artigos de higiene ou de farmácia (incluídas as chupetas), de borracha
vulcanizada não endurecida, mesmo com partes de borracha endurecida.
Outros.</t>
  </si>
  <si>
    <t>40150000 - Vestuário e seus acessórios (incluídas as luvas, mitenes e semelhantes),
de borracha vulcanizada não endurecida, para quaisquer usos.</t>
  </si>
  <si>
    <t>40161010 - Partes de veículos automóveis ou tratores e de máquinas ou aparelhos,
não domésticos, dos capítulos 84, 85 ou 90</t>
  </si>
  <si>
    <t>40169100 - Revestimentos para pavimentos (pisos) e capachos</t>
  </si>
  <si>
    <t>40169300 - Juntas, gaxetas e semelhantes</t>
  </si>
  <si>
    <t>40169990 - Outras</t>
  </si>
  <si>
    <t>41040000 - Couros e peles curtidos ou “crust”, de bovinos (incluídos os búfalos) ou
de eqüídeos, depilados, mesmo divididos, mas não preparados de outro
modo.</t>
  </si>
  <si>
    <t>41050000 - Peles curtidas ou “crust” de ovinos, depiladas, mesmo divididas, mas não
preparadas de outro modo.</t>
  </si>
  <si>
    <t>41060000 - Couros e peles, depilados, de outros animais e peles de animais
desprovidos de pêlos, curtidos ou “crust”, mesmo divididos, mas não
preparados de outro modo.</t>
  </si>
  <si>
    <t>41070000 - Couros preparados após curtimenta ou após secagem e couros e peles
apergaminhados, de bovinos (incluídos os búfalos) ou de eqüídeos,
depilados, mesmo divididos, exceto os da posição 41.14.</t>
  </si>
  <si>
    <t>41140000 - Couros e peles acamurçados (incluída a camurça combinada); couros e
peles envernizados ou revestidos; couros e peles metalizados.</t>
  </si>
  <si>
    <t>42021100 - Com a superfície exterior de couro natural ou reconstituído, ou de
couro envernizado</t>
  </si>
  <si>
    <t>42021220 - De matérias têxteis</t>
  </si>
  <si>
    <t>42022100 - Com a superfície exterior de couro natural ou reconstituído, ou de
couro envernizado</t>
  </si>
  <si>
    <t>42022220 - De matérias têxteis</t>
  </si>
  <si>
    <t>42023100 - Com a superfície exterior de couro natural ou reconstituído, ou de
couro envernizado</t>
  </si>
  <si>
    <t>42023200 - Com a superfície exterior de folhas de plásticos ou de matérias têxteis</t>
  </si>
  <si>
    <t>42029100 - Com a superfície exterior de couro natural ou reconstituído, ou de
couro envernizado</t>
  </si>
  <si>
    <t>42029200 - Com a superfície exterior de folhas de plásticos ou de matérias têxteis</t>
  </si>
  <si>
    <t>42030000 - Vestuário e seus acessórios, de couro natural ou reconstituído.</t>
  </si>
  <si>
    <t>42050000 - Outras obras de couro natural ou reconstituído.</t>
  </si>
  <si>
    <t>43030000 - Vestuário, seus acessórios e outros artefatos de peleteria (peles com
pêlo).</t>
  </si>
  <si>
    <t>44152000 - Caixotes, caixas, engradados, barricas e embalagens semelhantes, de
madeira; carretéis para cabos, de madeira; paletes simples, paletes-caixas
e outros estrados para carga, de madeira; taipais de paletes de madeira.
Paletes simples, paletes-caixas e outro</t>
  </si>
  <si>
    <t>44219000 - Outras</t>
  </si>
  <si>
    <t>45049000 - Outras</t>
  </si>
  <si>
    <t>47010000 - Pastas mecânicas de madeira.</t>
  </si>
  <si>
    <t>47020000 - Pastas químicas de madeira, para dissolução.</t>
  </si>
  <si>
    <t>47030000 - Pastas químicas de madeira, à soda ou ao sulfato, exceto pastas para
dissolução.</t>
  </si>
  <si>
    <t>47040000 - Pastas químicas de madeira, ao bissulfito, exceto pastas para dissolução.</t>
  </si>
  <si>
    <t>47050000 - Pastas de madeira obtidas pela combinação de um tratamento mecânico e
de um tratamento químico.</t>
  </si>
  <si>
    <t>47060000 - Pastas de fibras obtidas a partir de papel ou de cartão reciclados
(desperdícios e aparas) ou de outras matérias fibrosas celulósicas.</t>
  </si>
  <si>
    <t>48010000 - Papel de jornal, em rolos ou em folhas.</t>
  </si>
  <si>
    <t>48020000 - Papel e cartão, não revestidos, dos tipos utilizados para escrita, impressão
ou outros fins gráficos, e papel e cartão para fabricar cartões ou tiras
perfurados, não perfurados, em rolos ou em folhas de forma quadrada ou
retangular, de quaisquer formato ou dimensões, com exclusão do papel
das posições 48.01 ou 48.03; papel e cartão feitos a mão (folha a folha).</t>
  </si>
  <si>
    <t>48030000 - Papel dos tipos utilizados para papel de toucador, toalhas, guardanapos
ou para papéis semelhantes de uso doméstico, higiênico ou toucador,
pasta (ouate) de celulose e mantas de fibras de celulose, mesmo
encrespados, plissados, gofrados, estampados, perfurados, coloridos à
superfície, decorados à superfície ou impressos, em rolos ou em folhas.</t>
  </si>
  <si>
    <t>48040000 - Papel e cartão kraft, não revestidos, em rolos ou em folhas, exceto os das
posições 48.02 e 48.03.</t>
  </si>
  <si>
    <t>48050000 - Outros papéis e cartões, não revestidos, em rolos ou em folhas, não tendo
sofrido trabalho complementar nem tratamentos, exceto os especificados</t>
  </si>
  <si>
    <t>48060000 - Papel-pergaminho e cartão-pergaminho (sulfurizados), papel
impermeável a gorduras, papel vegetal, papel cristal e outros papéis
calandrados transparentes ou translúcidos, em rolos ou em folhas.</t>
  </si>
  <si>
    <t>48080000 - Papel e cartão ondulados (mesmo recobertos por colagem), encrespados,
plissados, gofrados, estampados ou perfurados, em rolos ou em folhas,
exceto o papel dos tipos descritos no texto da posição 48.03.</t>
  </si>
  <si>
    <t>48090000 - Papel-carbono, papel autocopiativo e outros papéis para cópia ou
duplicação (incluindo os papéis, revestidos ou impregnados, para
estênceis ou para chapas ofsete), mesmo impressos, em rolos ou em
folhas.</t>
  </si>
  <si>
    <t>48100000 - Papel e cartão revestidos de caulim (caulino) ou de outras substâncias
inorgânicas numa ou nas duas faces, com ou sem aglutinantes, sem
qualquer outro revestimento, mesmo coloridos à superfície, decorados à
superfície ou impressos, em rolos ou em folhas de forma quadrada ou
retangular, de quaisquer formato ou dimensões.</t>
  </si>
  <si>
    <t>48114900 - Papel, cartão, pasta (ouate) de celulose e mantas de fibras de celulose -outros</t>
  </si>
  <si>
    <t>48120000 - Blocos e chapas, filtrantes, de pasta de papel.</t>
  </si>
  <si>
    <t>48130000 - Papel para cigarros, mesmo cortado nas dimensões próprias, em cadernos
ou em tubos.</t>
  </si>
  <si>
    <t>48160000 - Papel-carbono, papel autocopiativo e outros papéis para cópia ou
duplicação (exceto da posição 48.09), estênceis completos e chapas, de
papel, mesmo acondicionados em caixas.</t>
  </si>
  <si>
    <t>48180000 - Papel higiênico e papéis semelhantes, pasta (ouate) de celulose ou mantas
de fibras de celulose, dos tipos utilizados para fins domésticos ou
sanitários, em rolos de largura não superior a 36 cm, ou cortados em
formas próprias; lenços, incluindo os de desmaquiar, toalhas de mão,
toalhas, toalhas de mesa, guardanapos, lençóis e artigos semelhantes, de
uso doméstico, de toucador, higiênicos ou hospitalares, vestuário e seus
acessórios, de pasta de papel, papel, pasta (ouate) de celulose ou de
mantas de fibras de celulose.</t>
  </si>
  <si>
    <t>48185000 - Vestuário e seus acessórios</t>
  </si>
  <si>
    <t>48190000 - Caixas, sacos, bolsas, cartuchos e outras embalagens, de papel, cartão,
pasta (ouate) de celulose ou de mantas de fibras de celulose; cartonagens
para escritórios, lojas e estabelecimentos semelhantes.</t>
  </si>
  <si>
    <t>48234000 - Papéis-diagrama para aparelhos registradores, em bobinas, em folhas ou
em discos</t>
  </si>
  <si>
    <t>50040000 - Fios de seda (exceto fios de desperdícios de seda) não acondicionados
para venda a retalho.</t>
  </si>
  <si>
    <t>50050000 - Fios de desperdícios de seda, não acondicionados para venda a retalho.</t>
  </si>
  <si>
    <t>50060000 - Fios de seda ou de desperdícios de seda, acondicionados para venda a
retalho; pêlo de messina (crina de florença).</t>
  </si>
  <si>
    <t>50070000 - Tecidos de seda ou de desperdícios de seda.</t>
  </si>
  <si>
    <t>51040000 - Fiapos de lã ou de pêlos finos ou grosseiros.</t>
  </si>
  <si>
    <t>51050000 - Lã, pêlos finos ou grosseiros, cardados ou penteados (incluída a “lã
penteada a granel”).</t>
  </si>
  <si>
    <t>51060000 - Fios de lã cardada, não acondicionados para venda a retalho.</t>
  </si>
  <si>
    <t>51070000 - Fios de lã penteada, não acondicionados para venda a retalho.</t>
  </si>
  <si>
    <t>51080000 - Fios de pêlos finos, cardados ou penteados, não acondicionados para
venda a retalho.</t>
  </si>
  <si>
    <t>51090000 - Fios de lã ou de pêlos finos, acondicionados para venda a retalho.</t>
  </si>
  <si>
    <t>51100000 - Fios de pêlos grosseiros ou de crina (incluídos os fios de crina revestidos
por enrolamento), mesmo acondicionados para venda a retalho.</t>
  </si>
  <si>
    <t>51110000 - Tecidos de lã cardada ou de pêlos finos cardados.</t>
  </si>
  <si>
    <t>51120000 - Tecidos de lã penteada ou de pêlos finos penteados.</t>
  </si>
  <si>
    <t>51130000 - Tecidos de pêlos grosseiros ou de crina.</t>
  </si>
  <si>
    <t>52030000 - Algodão cardado ou penteado.</t>
  </si>
  <si>
    <t>52040000 - Linhas para costurar, de algodão, mesmo acondicionadas para venda a
retalho.</t>
  </si>
  <si>
    <t>52050000 - Fios de algodão (exceto linhas para costurar) contendo pelo menos 85%,
em peso, de algodão, não acondicionados para venda a retalho.</t>
  </si>
  <si>
    <t>52060000 - Fios de algodão (exceto linhas para costurar) contendo menos de 85%,
em peso, de algodão, não acondicionados para venda a retalho.</t>
  </si>
  <si>
    <t>52070000 - Fios de algodão (exceto linhas para costurar) acondicionados para venda
a retalho.</t>
  </si>
  <si>
    <t>52080000 - Tecidos de algodão contendo pelo menos 85%, em peso, de algodão, com
peso não superior a 200g/m².</t>
  </si>
  <si>
    <t>52090000 - Tecidos de algodão contendo pelo menos 85%, em peso, de algodão, com
peso superior a 200g/m².</t>
  </si>
  <si>
    <t>52100000 - Tecidos de algodão contendo menos de 85%, em peso, de algodão,
combinados, principal ou unicamente, com fibras sintéticas ou artificiais,
com peso não superior a 200g/m2.</t>
  </si>
  <si>
    <t>52110000 - Tecidos de algodão contendo menos de 85%, em peso, de algodão,
combinados, principal ou unicamente, com fibras sintéticas ou artificiais,
com peso superior a 200g/m2.</t>
  </si>
  <si>
    <t>52120000 - Outros tecidos de algodão.</t>
  </si>
  <si>
    <t>53060000 - Fios de linho.</t>
  </si>
  <si>
    <t>53070000 - Fios de juta ou de outras fibras têxteis liberianas da posição 53.03.</t>
  </si>
  <si>
    <t>53080000 - Fios de outras fibras têxteis vegetais; fios de papel.</t>
  </si>
  <si>
    <t>53090000 - Tecidos de linho.</t>
  </si>
  <si>
    <t>53100000 - Tecidos de juta ou de outras fibras têxteis liberianas da posição 53.03.</t>
  </si>
  <si>
    <t>53110000 - Tecidos de outras fibras têxteis vegetais; tecidos de fios de papel.</t>
  </si>
  <si>
    <t>54000000 - Filamentos sintéticos ou artificiais</t>
  </si>
  <si>
    <t>55000000 - Fibras sintéticas ou artificiais, descontínuas</t>
  </si>
  <si>
    <t>56000000 - Pastas ("ouates"), feltros e falsos tecidos; fios especiais; cordéis, cordas e
cabos; artigos de cordoaria</t>
  </si>
  <si>
    <t>57000000 - Tapetes e outros revestimentos para pavimentos, de matérias têxteis</t>
  </si>
  <si>
    <t>58000000 - Tecidos especiais; tecidos tufados; rendas; tapeçarias; passamanarias;
bordados</t>
  </si>
  <si>
    <t>59000000 - Tecidos impregnados, revestidos, recobertos ou estratificados; artigos
para usos técnicos de matérias têxteis</t>
  </si>
  <si>
    <t>60000000 - Tecidos de malha</t>
  </si>
  <si>
    <t>61000000 - Vestuário e seus acessórios, de malha</t>
  </si>
  <si>
    <t>62000000 - Vestuário e seus acessórios, exceto de malha</t>
  </si>
  <si>
    <t>63000000 - Outros artefatos têxteis confeccionados; sortidos; artefatos de matérias
têxteis, calçados, chapéus e artefatos de uso semelhante, usados; trapos</t>
  </si>
  <si>
    <t>63090000 - Artefatos de matérias têxteis, calçados, chapéus e artefatos de uso
semelhante, usados.</t>
  </si>
  <si>
    <t>64000000 - Calçados, polainas e artefatos semelhantes, e suas partes</t>
  </si>
  <si>
    <t>64010000 - Ver descrição na tabela de incidência do ipi (tipi), conforme decreto nº
8.950/2016 e atualizações posteriores</t>
  </si>
  <si>
    <t>64020000 - Ver descrição na tabela de incidência do ipi (tipi), conforme decreto nº
8.950/2016 e atualizações posteriores</t>
  </si>
  <si>
    <t>64030000 - Ver descrição na tabela de incidência do ipi (tipi), conforme decreto nº
8.950/2016 e atualizações posteriores</t>
  </si>
  <si>
    <t>64040000 - Ver descrição na tabela de incidência do ipi (tipi), conforme decreto nº
8.950/2016 e atualizações posteriores</t>
  </si>
  <si>
    <t>64050000 - Ver descrição na tabela de incidência do ipi (tipi), conforme decreto nº
8.950/2016 e atualizações posteriores</t>
  </si>
  <si>
    <t>64060000 - Ver descrição na tabela de incidência do ipi (tipi), conforme decreto nº
8.950/2016 e atualizações posteriores</t>
  </si>
  <si>
    <t>65000000 - Chapéus e artefatos de uso semelhante, e suas partes</t>
  </si>
  <si>
    <t>65050000 - Ver descrição na tabela de incidência do ipi (tipi), conforme decreto nº
8.950/2016 e atualizações posteriores</t>
  </si>
  <si>
    <t>68010000 - Pedras para calcetar, meios-fios e placas (lajes) para pavimentação, de
pedra natural (exceto a ardósia).</t>
  </si>
  <si>
    <t>68021000 - Ladrilhos, cubos, pastilhas e artigos semelhantes, mesmo de forma
diferente da quadrada ou retangular, cuja maior superfície possa ser
inscrita num quadrado de lado inferior a 7 cm; grânulos, fragmentos e
pós, corados artificialmente</t>
  </si>
  <si>
    <t>68022100 - Mármore, travertino e alabastro</t>
  </si>
  <si>
    <t>68022300 - Granito</t>
  </si>
  <si>
    <t>68022900 - Outras pedras</t>
  </si>
  <si>
    <t>68029100 - Outras - mármore, travertino e alabastro</t>
  </si>
  <si>
    <t>68029200 - Outras pedras calcárias</t>
  </si>
  <si>
    <t>68029310 - Outras - granito</t>
  </si>
  <si>
    <t>68029390 - Outros</t>
  </si>
  <si>
    <t>68029990 - Outras</t>
  </si>
  <si>
    <t>68030000 - Ardósia natural trabalhada e obras de ardósia natural ou aglomerada.</t>
  </si>
  <si>
    <t>68079000 - Outras</t>
  </si>
  <si>
    <t>68101900 - Obras de cimento, de concreto ou de pedra artificial - outros</t>
  </si>
  <si>
    <t>68109100 - Elementos pré-fabricados para a construção ou engenharia civil</t>
  </si>
  <si>
    <t>68109900 - Obras de cimento, de concreto ou de pedra artificial, mesmo armadas.
Outras.</t>
  </si>
  <si>
    <t>68128000 - De crocidolita</t>
  </si>
  <si>
    <t>68129010 - Juntas e outros elementos com função semelhante de vedação</t>
  </si>
  <si>
    <t>68129100 - Vestuário, acessórios de vestuário, calçados e chapéus</t>
  </si>
  <si>
    <t>68129910 - Juntas e outros elementos com função semelhante de vedação</t>
  </si>
  <si>
    <t>68131010 - Pastilhas</t>
  </si>
  <si>
    <t>68131090 - Outras</t>
  </si>
  <si>
    <t>68132000 - Contendo amianto</t>
  </si>
  <si>
    <t>68138110 - Pastilhas</t>
  </si>
  <si>
    <t>68138190 - Outras</t>
  </si>
  <si>
    <t>68138910 - Disco de fricção para embreagens</t>
  </si>
  <si>
    <t>68138990 - Outras</t>
  </si>
  <si>
    <t>68139010 - Disco de fricção para embreagens</t>
  </si>
  <si>
    <t>68139090 - Outras</t>
  </si>
  <si>
    <t>69010000 - Tijolos, placas (lajes), ladrilhos e outras peças cerâmicas de farinhas
siliciosas fósseis (“kieselghur”, tripolita, diatomita, por exemplo) ou de
terras siliciosas semelhantes.</t>
  </si>
  <si>
    <t>69020000 - Tijolos, placas (lajes), ladrilhos e peças cerâmicas semelhantes, para
construção, refratários, que não sejam de farinhas siliciosas fósseis nem
de terras siliciosas semelhantes.</t>
  </si>
  <si>
    <t>69040000 - Tijolos para construção, tijoleiras, tapa-vigas e produtos semelhantes, de
cerâmica.</t>
  </si>
  <si>
    <t>69050000 - Telhas, elementos de chaminés, condutores de fumaça, ornamentos
arquitetônicos, de cerâmica, e outros produtos cerâmicos para construção.</t>
  </si>
  <si>
    <t>69060000 - Tubos, calhas ou algerozes e acessórios para canalizações, de cerâmica.</t>
  </si>
  <si>
    <t>69070000 - Ladrilhos e placas (lajes), para pavimentação ou revestimento, não
vidrados nem esmaltados, de cerâmica; cubos, pastilhas e artigos
semelhantes, para mosaicos, não vidrados nem esmaltados, de cerâmica,
mesmo com suporte.</t>
  </si>
  <si>
    <t>69080000 - Ladrilhos e placas (lajes), para pavimentação ou revestimento, vidrados
ou esmaltados, de cerâmica; cubos, pastilhas e artigos semelhantes, para
mosaicos, vidrados ou esmaltados, de cerâmica, mesmo com suporte.</t>
  </si>
  <si>
    <t>69091930 - Colméia de cerâmica à base de alumina (al2o3), sílica (sio2) e óxido de
magnésio (mgo), de depuradores por conversão catalítica de gases de
escape de veículos</t>
  </si>
  <si>
    <t>69109000 - Pias, lavatórios, colunas para lavatórios, banheiras, bidês, sanitários,
caixas de descarga, mictórios e aparelhos fixos semelhantes para usos
sanitários, de cerâmica. Outros.</t>
  </si>
  <si>
    <t>69110000 - Louça, outros artigos de uso doméstico e artigos de higiene ou de
toucador, de porcelana.</t>
  </si>
  <si>
    <t>69120000 - Louça, outros artigos de uso doméstico e artigos de higiene ou de
toucador, de cerâmica, exceto de porcelana.</t>
  </si>
  <si>
    <t>69130000 - Estatuetas e outros objetos de ornamentação, de cerâmica.</t>
  </si>
  <si>
    <t>69140000 - Outras obras de cerâmica.</t>
  </si>
  <si>
    <t>70010000 - Cacos, fragmentos e outros desperdícios e resíduos de vidro; vidro em
blocos ou massas.</t>
  </si>
  <si>
    <t>70020000 - Vidro em esferas (exceto as microsferas da posição 70.18), barras,
varetas ou tubos, não trabalhado.</t>
  </si>
  <si>
    <t>70030000 - Vidro vazado ou laminado, em chapas, folhas ou perfis, mesmo com
camada absorvente, refletora ou não, mas não trabalhado de outro modo.</t>
  </si>
  <si>
    <t>70040000 - Vidro estirado ou soprado, em folhas, mesmo com camada absorvente,
refletora ou não, mas não trabalhado de outro modo.</t>
  </si>
  <si>
    <t>70050000 - Vidro flotado e vidro desbastado ou polido numa ou em ambas as faces,
em chapas ou em folhas, mesmo com camada absorvente, refletora ou
não, mas não trabalhado de outro modo.</t>
  </si>
  <si>
    <t>70060000 - Vidro das posições 70.03, 70.04 ou 70.05, recurvado, biselado, gravado,
brocado, esmaltado ou trabalhado de outro modo, mas não emoldurado
nem associado a outras matérias.</t>
  </si>
  <si>
    <t>70070000 - Vidros de segurança consistindo em vidros temperados ou formados por
folhas contracoladas.</t>
  </si>
  <si>
    <t>70071100 - De dimensões e formatos que permitam a sua aplicação em
automóveis, veículos aéreos, barcos ou outros veículos</t>
  </si>
  <si>
    <t>70072100 - De dimensões e formatos que permitam a sua aplicação em
automóveis, veículos aéreos, barcos ou outros veículos</t>
  </si>
  <si>
    <t>70080000 - Vidros isolantes de paredes múltiplas.</t>
  </si>
  <si>
    <t>70090000 - Espelhos de vidro, mesmo emoldurados, incluindo os espelhos
retrovisores.</t>
  </si>
  <si>
    <t>70091000 - Espelhos retrovisores para veículos</t>
  </si>
  <si>
    <t>70100000 - Garrafões, garrafas, frascos, boiões, vasos, embalagens tubulares,
ampolas e outros recipientes de vidro próprios para transporte ou
embalagem; boiões de vidro para conservas; rolhas, tampas e outros
dispositivos de uso semelhante, de vidro.</t>
  </si>
  <si>
    <t>70110000 - Ampolas e invólucros, mesmo tubulares, abertos, e suas partes, de vidro,
sem guarnições, para lâmpadas elétricas, tubos catódicos ou semelhantes.</t>
  </si>
  <si>
    <t>70130000 - Objetos de vidro para serviço de mesa, cozinha, toucador, escritório,
ornamentação de interiores ou usos semelhantes (exceto os das posições
70.10 ou 70.18).</t>
  </si>
  <si>
    <t>70140000 - Artefatos de vidro para sinalização e elementos de óptica de vidro
(exceto os da posição 70.15), não trabalhados opticamente.</t>
  </si>
  <si>
    <t>70150000 - Vidros de relojoaria e vidros semelhantes, vidros para lentes, mesmo
corretivas, curvos ou arqueados, ocos ou semelhantes, não trabalhados
opticamente; esferas ocas e segmentos de esferas, de vidro, para
fabricação desses vidros.</t>
  </si>
  <si>
    <t>70160000 - Blocos, placas, tijolos, ladrilhos, telhas e outros artefatos,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</si>
  <si>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70170000 - Artefatos de vidro para laboratório, higiene e farmácia, mesmo graduados
ou calibrados.</t>
  </si>
  <si>
    <t>70180000 - Contas, imitações de pérolas naturais ou cultivadas, imitações de pedras
preciosas ou semipreciosas e artefatos semelhantes, de vidro e suas obras,
exceto bijuterias; olhos de vidro, exceto de prótese; estatuetas e outros
objetos de ornamentação, de vidro trabalhado a maçarico, exceto
bijuterias; microsferas de vidro, de diâmetro não superior a 1 mm.</t>
  </si>
  <si>
    <t>70190000 - Fibras de vidro (incluindo a lã de vidro) e suas obras (por exemplo, fios,
tecidos).</t>
  </si>
  <si>
    <t>70200000 - Outras obras de vidro.</t>
  </si>
  <si>
    <t>72011000 - Ferro fundido bruto e ferro “spiegel” (especular), em lingotes, linguados
ou outras formas primárias. Ferro fundido bruto não ligado, contendo, em
peso, 0,5% ou menos de fósforo.</t>
  </si>
  <si>
    <t>72042900 - Desperdícios e resíduos de ferro fundido, ferro ou aço; desperdícios de
ferro ou aço, em lingotes. Desperdícios e resíduos de ligas de aços:
outros.</t>
  </si>
  <si>
    <t>73024000 - Elementos de vias férreas, de ferro fundido, ferro ou aço: trilhos,
contratrilhos e cremalheiras, agulhas, cróssimas, alavancas para comando
de agulhas e outros elementos de cruzamentos e desvios, dormentes, talas
de junção, coxins de trilho, cantoneiras,</t>
  </si>
  <si>
    <t>73030000 - Tubos e perfis ocos, de ferro fundido.</t>
  </si>
  <si>
    <t>73041100 - Ver descrição na tabela de incidência do ipi (tipi), conforme decreto nº
8.950/2016 e atualizações posteriores</t>
  </si>
  <si>
    <t>73041900 - Ver descrição na tabela de incidência do ipi (tipi), conforme decreto nº
8.950/2016 e atualizações posteriores</t>
  </si>
  <si>
    <t>73042200 - Ver descrição na tabela de incidência do ipi (tipi), conforme decreto nº
8.950/2016 e atualizações posteriores</t>
  </si>
  <si>
    <t>73042310 - Ver descrição na tabela de incidência do ipi (tipi), conforme decreto nº
8.950/2016 e atualizações posteriores</t>
  </si>
  <si>
    <t>73042390 - Ver descrição na tabela de incidência do ipi (tipi), conforme decreto nº
8.950/2016 e atualizações posteriores</t>
  </si>
  <si>
    <t>73042400 - Ver descrição na tabela de incidência do ipi (tipi), conforme decreto nº
8.950/2016 e atualizações posteriores</t>
  </si>
  <si>
    <t>73042910 - Ver descrição na tabela de incidência do ipi (tipi), conforme decreto nº
8.950/2016 e atualizações posteriores</t>
  </si>
  <si>
    <t>73042931 - Ver descrição na tabela de incidência do ipi (tipi), conforme decreto nº
8.950/2016 e atualizações posteriores</t>
  </si>
  <si>
    <t>73042939 - Ver descrição na tabela de incidência do ipi (tipi), conforme decreto nº
8.950/2016 e atualizações posteriores</t>
  </si>
  <si>
    <t>73042990 - Ver descrição na tabela de incidência do ipi (tipi), conforme decreto nº
8.950/2016 e atualizações posteriores</t>
  </si>
  <si>
    <t>73051100 - Ver descrição na tabela de incidência do ipi (tipi), conforme decreto nº
8.950/2016 e atualizações posteriores</t>
  </si>
  <si>
    <t>73051200 - Ver descrição na tabela de incidência do ipi (tipi), conforme decreto nº
8.950/2016 e atualizações posteriores</t>
  </si>
  <si>
    <t>73051900 - Ver descrição na tabela de incidência do ipi (tipi), conforme decreto nº
8.950/2016 e atualizações posteriores</t>
  </si>
  <si>
    <t>73052000 - Ver descrição na tabela de incidência do ipi (tipi), conforme decreto nº
8.950/2016 e atualizações posteriores</t>
  </si>
  <si>
    <t>73061100 - Ver descrição na tabela de incidência do ipi (tipi), conforme decreto nº
8.950/2016 e atualizações posteriores</t>
  </si>
  <si>
    <t>73061900 - Ver descrição na tabela de incidência do ipi (tipi), conforme decreto nº
8.950/2016 e atualizações posteriores</t>
  </si>
  <si>
    <t>73062100 - Ver descrição na tabela de incidência do ipi (tipi), conforme decreto nº
8.950/2016 e atualizações posteriores</t>
  </si>
  <si>
    <t>73062900 - Ver descrição na tabela de incidência do ipi (tipi), conforme decreto nº
8.950/2016 e atualizações posteriores</t>
  </si>
  <si>
    <t>73065000 - Outros tubos e perfis ocos (por exemplo, soldados, rebitados, agrafados
ou com os bordos simplesmente aproximados), de ferro ou aço. Outros,
soldados, de seção circular, de outras ligas de aços.</t>
  </si>
  <si>
    <t>73071910 - Acessórios para tubos - de ferro fundido maleável, de diâmetro interior
superior a 50,8 mm</t>
  </si>
  <si>
    <t>73071990 - Outros</t>
  </si>
  <si>
    <t>73072100 - Acessórios para tubos (por exemplo, uniões, cotovelos, luvas ou
mangas), de ferro fundido, ferro ou aço. Flanges.</t>
  </si>
  <si>
    <t>73072200 - Acessórios para tubos (por exemplo, uniões, cotovelos, luvas ou
mangas), de ferro fundido, ferro ou aço. Cotovelos, curvas e luvas ou
mangas, roscados.</t>
  </si>
  <si>
    <t>73072300 - Acessórios para soldar topo a topo</t>
  </si>
  <si>
    <t>73079100 - Acessórios para tubos (por exemplo, uniões, cotovelos, luvas ou
mangas), de ferro fundido, ferro ou aço. Flanges.</t>
  </si>
  <si>
    <t>73079300 - Acessórios para tubos (por exemplo, uniões, cotovelos, luvas ou
mangas), de ferro fundido, ferro ou aço. Acessórios para soldar topo a
topo.</t>
  </si>
  <si>
    <t>73079900 - Acessórios para tubos (por exemplo, uniões, cotovelos, luvas ou
mangas), de ferro fundido, ferro ou aço. Outros.</t>
  </si>
  <si>
    <t>73081000 - Pontes e elementos de pontes</t>
  </si>
  <si>
    <t>73082000 - Torres e pórticos</t>
  </si>
  <si>
    <t>73084000 - Material para andaimes, para armações e para escoramentos</t>
  </si>
  <si>
    <t>73089010 - Construções e suas partes (por exemplo, pontes e elementos de pontes,
comportas, torres, pórticos, pilares, colunas, armações, estruturas para
telhados, portas e janelas, e seus caixilhos, alizares e soleiras, portas de
correr, balaustradas), de ferro fun</t>
  </si>
  <si>
    <t>73090010 - Para armazenamento de grãos e outras matérias sólidas</t>
  </si>
  <si>
    <t>73090090 - Outros</t>
  </si>
  <si>
    <t>73101090 - Outros</t>
  </si>
  <si>
    <t>73102910 - Próprios para acondicionar produtos alimentícios</t>
  </si>
  <si>
    <t>73102990 - Outros</t>
  </si>
  <si>
    <t>73110000 - Recipientes para gases comprimidos ou liquefeitos, de ferro fundido,
ferro ou aço.</t>
  </si>
  <si>
    <t>73151100 - Correntes de rolos</t>
  </si>
  <si>
    <t>73151210 - De transmissão</t>
  </si>
  <si>
    <t>73151290 - Outras</t>
  </si>
  <si>
    <t>73151900 - Partes</t>
  </si>
  <si>
    <t>73152000 - Correntes antiderrapantes</t>
  </si>
  <si>
    <t>73158100 - Correntes de elos com suporte</t>
  </si>
  <si>
    <t>73158200 - Outras correntes, de elos soldados</t>
  </si>
  <si>
    <t>73158900 - Outras</t>
  </si>
  <si>
    <t>73159000 - Outras partes</t>
  </si>
  <si>
    <t>73160000 - Âncoras, fateixas, e suas partes, de ferro fundido, ferro ou aço.</t>
  </si>
  <si>
    <t>73181200 - Parafusos, pinos ou pernos, roscados, porcas, tira-fundos, ganchos
roscados, rebites, chavetas, cavilhas, contrapinos, arruelas (incluídas as
de pressão) e artefatos semelhantes, de ferro fundido, ferro ou aço.
Artefatos roscados: outros parafusos para ma</t>
  </si>
  <si>
    <t>73181400 - Parafusos, pinos ou pernos, roscados, porcas, tira-fundos, ganchos
roscados, rebites, chavetas, cavilhas, contrapinos, arruelas (incluídas as
de pressão) e artefatos semelhantes, de ferro fundido, ferro ou aço.
Artefatos roscados: parafusos perfurantes.</t>
  </si>
  <si>
    <t>73181500 - Parafusos, pinos ou pernos, roscados, porcas, tira-fundos, ganchos
roscados, rebites, chavetas, cavilhas, contrapinos, arruelas (incluídas as
de pressão) e artefatos semelhantes, de ferro fundido, ferro ou aço.
Artefatos roscados: outros parafusos e pinos</t>
  </si>
  <si>
    <t>73181600 - Parafusos, pinos ou pernos, roscados, porcas, tira-fundos, ganchos
roscados, rebites, chavetas, cavilhas, contrapinos, arruelas (incluídas as</t>
  </si>
  <si>
    <t>73181900 - Parafusos, pinos ou pernos, roscados, porcas, tira-fundos, ganchos
roscados, rebites, chavetas, cavilhas, contrapinos, arruelas (incluídas as
de pressão) e artefatos semelhantes, de ferro fundido, ferro ou aço.
Artefatos roscados: outros.</t>
  </si>
  <si>
    <t>73182100 - Parafusos, pinos ou pernos, roscados, porcas, tira-fundos, ganchos
roscados, rebites, chavetas, cavilhas, contrapinos, arruelas (incluídas as
de pressão) e artefatos semelhantes, de ferro fundido, ferro ou aço.
Artefatos não roscados: arruelas de pressão</t>
  </si>
  <si>
    <t>73182200 - Parafusos, pinos ou pernos, roscados, porcas, tira-fundos, ganchos
roscados, rebites, chavetas, cavilhas, contrapinos, arruelas (incluídas as
de pressão) e artefatos semelhantes, de ferro fundido, ferro ou aço.
Artefatos não roscados: outras arruelas.</t>
  </si>
  <si>
    <t>73182300 - Parafusos, pinos ou pernos, roscados, porcas, tira-fundos, ganchos
roscados, rebites, chavetas, cavilhas, contrapinos, arruelas (incluídas as
de pressão) e artefatos semelhantes, de ferro fundido, ferro ou aço.
Artefatos não roscados: rebites.</t>
  </si>
  <si>
    <t>73182400 - Parafusos, pinos ou pernos, roscados, porcas, tira-fundos, ganchos
roscados, rebites, chavetas, cavilhas, contrapinos, arruelas (incluídas as
de pressão) e artefatos semelhantes, de ferro fundido, ferro ou aço.
Artefatos não roscados: chavetas, cavilhas e</t>
  </si>
  <si>
    <t>73182900 - Parafusos, pinos ou pernos, roscados, porcas, tira-fundos, ganchos
roscados, rebites, chavetas, cavilhas, contrapinos, arruelas (incluídas as
de pressão) e artefatos semelhantes, de ferro fundido, ferro ou aço.
Artefatos não roscados: outros.</t>
  </si>
  <si>
    <t>73201000 - Molas de folhas e suas folhas</t>
  </si>
  <si>
    <t>73202010 - Cilíndricas</t>
  </si>
  <si>
    <t>73202090 - Outras</t>
  </si>
  <si>
    <t>73209000 - Outras</t>
  </si>
  <si>
    <t>73211100 - Aquecedores de ambiente, caldeiras de fornalha, fogões de cozinha
(incluídos os que possam ser utilizados acessoriamente no aquecimento
central), churrasqueiras (grelhadores), braseiras, fogareiros a gás,
aquecedores de pratos, e aparelhos não elétricos s</t>
  </si>
  <si>
    <t>73239300 - Artefatos de uso doméstico e suas partes - de aço inoxidável</t>
  </si>
  <si>
    <t>73251000 - Outras obras moldadas, de ferro fundido, ferro ou aço. De ferro fundido,
não maleável.</t>
  </si>
  <si>
    <t>73259910 - Outras obras moldadas, de ferro fundido, ferro ou aço. De aço.</t>
  </si>
  <si>
    <t>73260000 - Outras obras de ferro ou aço</t>
  </si>
  <si>
    <t>73261900 - Outras obras de ferro ou aço. Simplesmente forjadas ou estampadas:
outras.</t>
  </si>
  <si>
    <t>73269090 - Outras</t>
  </si>
  <si>
    <t>74032100 - Cobre refinado e ligas de cobre em formas brutas - à base de cobre-zinco
(latão)</t>
  </si>
  <si>
    <t>74072110 - Barras, de cobre.</t>
  </si>
  <si>
    <t>74072120 - Perfis, de cobre.</t>
  </si>
  <si>
    <t>74092100 - Chapas e tiras de cobre, de espessura superior a 0,15 mm - em rolos</t>
  </si>
  <si>
    <t>74111010 - Tubos de cobre - não aletados nem ranhurados</t>
  </si>
  <si>
    <t>74112110 - Tubos de ligas de cobre - não aletados nem ranhurados</t>
  </si>
  <si>
    <t>74120000 - Acessórios para tubos (por exemplo, uniões, cotovelos, luvas), de cobre.</t>
  </si>
  <si>
    <t>74152900 - Tachas, pregos, percevejos, escápulas e artefatos semelhantes, de cobre,
ou de ferro ou aço com cabeça de cobre; parafusos, pinos ou pernos,
roscados, porcas, ganchos roscados, rebites, chavetas, cavilhas,
contrapinos, arruelas (incluídas as de pressão),</t>
  </si>
  <si>
    <t>74153900 - Tachas, pregos, percevejos, escápulas e artefatos semelhantes, de cobre,
ou de ferro ou aço com cabeça de cobre; parafusos, pinos ou pernos,
roscados, porcas, ganchos roscados, rebites, chavetas, cavilhas,
contrapinos, arruelas (incluídas as de pressão),</t>
  </si>
  <si>
    <t>74182000 - Artefatos de higiene ou de toucador, e suas partes</t>
  </si>
  <si>
    <t>74199990 - Outras</t>
  </si>
  <si>
    <t>76129090 - Outros</t>
  </si>
  <si>
    <t>76150000 - Artefatos de uso doméstico, de higiene ou de toucador, e suas partes, de
alumínio; esponjas, esfregões, luvas e artefatos semelhantes, para
limpeza, polimento ou usos semelhantes, de alumínio.</t>
  </si>
  <si>
    <t>76161000 - Outras obras de alumínio. Tachas, pregos, escápulas, parafusos, pinos ou
pernos roscados, porcas, ganchos roscados, rebites, chavetas, cavilhas,
contrapinos, arruelas e artefatos semelhantes.</t>
  </si>
  <si>
    <t>76169900 - Outras obras de alumínio. Outras.</t>
  </si>
  <si>
    <t>82014000 - Pás, alviões, picaretas, enxadas, sachos, forcados, forquilhas, ancinhos e
raspadeiras; machados, podões e ferramentas semelhantes com gume;
tesouras de podar de todos os tipos; foices e foicinhas, facas para feno ou
para palha, tesouras para sebes, cunha</t>
  </si>
  <si>
    <t>82032010 - Limas, grosas, alicates (mesmo cortantes), tenazes, pinças, cisalhas para
metais, corta-tubos, corta-pinos, saca-bocados e ferramentas semelhantes,
manuais. Alicates (mesmo cortantes), tenazes, pinças e ferramentas
semelhantes. Alicates (mesmo cortantes).</t>
  </si>
  <si>
    <t>82032090 - Limas, grosas, alicates (mesmo cortantes), tenazes, pinças, cisalhas para
metais, corta-tubos, corta-pinos, saca-bocados e ferramentas semelhantes,
manuais. Alicates (mesmo cortantes), tenazes, pinças e ferramentas
semelhantes. Outras.</t>
  </si>
  <si>
    <t>82034000 - Limas, grosas, alicates (mesmo cortantes), tenazes, pinças, cisalhas para
metais, corta-tubos, corta-pinos, saca-bocados e ferramentas semelhantes,
manuais. Corta-tubos, corta-pinos, saca-bocados e ferramentas
semelhantes.</t>
  </si>
  <si>
    <t>82041100 - Chaves de porcas, manuais (incluídas as chaves dinamométricas); chaves
de caixa intercambiáveis, mesmo com cabos. Chaves de porcas, manuais:
de abertura fixa.</t>
  </si>
  <si>
    <t>82041200 - Chaves de porcas, manuais (incluídas as chaves dinamométricas); chaves
de caixa intercambiáveis, mesmo com cabos. Chaves de porcas, manuais:
de abertura variável.</t>
  </si>
  <si>
    <t>82052000 - Ferramentas manuais (incluídos os corta-vidros (diamantes de
vidraceiro)) não especificadas nem compreendidas em outras posições;
lamparinas ou lâmpadas, de soldar (maçaricos) e semelhantes; tornos de
apertar, sargentos e semelhantes, exceto os acessórios</t>
  </si>
  <si>
    <t>82054000 - Chaves de fenda</t>
  </si>
  <si>
    <t>82055900 - Ferramentas manuais (incluídos os corta-vidros (diamantes de
vidraceiro)) não especificadas nem compreendidas em outras posições;
lamparinas ou lâmpadas, de soldar (maçaricos) e semelhantes; tornos de
apertar, sargentos e semelhantes, exceto os acessórios</t>
  </si>
  <si>
    <t>82057000 - Ferramentas manuais (incluídos os corta-vidros (diamantes de
vidraceiro)) não especificadas nem compreendidas em outras posições;
lamparinas ou lâmpadas, de soldar (maçaricos) e semelhantes; tornos de
apertar, sargentos e semelhantes, exceto os acessórios</t>
  </si>
  <si>
    <t>82073000 - Ferramentas de embutir, de estampar ou de puncionar</t>
  </si>
  <si>
    <t>82120000 - Navalhas e aparelhos, de barbear, e suas lâminas (incluindo os esboços
em tiras).</t>
  </si>
  <si>
    <t>83011000 - Cadeados, fechaduras e ferrolhos (de chave, de segredo ou elétricos), de
metais comuns; fechos e armações com fecho, com fechadura, de metais
comuns; chaves para estes artigos, de metais comuns. Cadeados.</t>
  </si>
  <si>
    <t>83012000 - Fechaduras dos tipos utilizados em veículos automóveis</t>
  </si>
  <si>
    <t>83014000 - Outras fechaduras; ferrolhos</t>
  </si>
  <si>
    <t>83016000 - Partes (de cadeados, fechaduras, ferrolhos)</t>
  </si>
  <si>
    <t>83017000 - Chaves apresentadas isoladamente</t>
  </si>
  <si>
    <t>83021000 - Dobradiças de qualquer tipo (incluindo os gonzos e as charneiras)</t>
  </si>
  <si>
    <t>83023000 - Outras guarnições, ferragens e artigos semelhantes, para veículos
automóveis</t>
  </si>
  <si>
    <t>83024100 - Guarnições, ferragens e artigos semlehantes - para construções</t>
  </si>
  <si>
    <t>83071010 - Ver descrição na tabela de incidência do ipi (tipi), conforme decreto nº
8.950/2016 e atualizações posteriores</t>
  </si>
  <si>
    <t>83079000 - De outros metais comuns (tubos flexíveis)</t>
  </si>
  <si>
    <t>83081000 - Grampos, colchetes e ilhoses</t>
  </si>
  <si>
    <t>83082000 - Rebites tubulares ou de haste fendida</t>
  </si>
  <si>
    <t>83089010 - Fivelas</t>
  </si>
  <si>
    <t>83089090 - Outros</t>
  </si>
  <si>
    <t>83100000 - Placas indicadoras, placas sinalizadoras, placas-endereços e placas
semelhantes, números, letras e sinais diversos, de metais comuns, exceto
os da posição 94.05.</t>
  </si>
  <si>
    <t>84010000 - Ver descrição na tabela de incidência do ipi (tipi), conforme decreto nº
8.950/2016 e atualizações posteriores</t>
  </si>
  <si>
    <t>84011000 - Reatores nucleares</t>
  </si>
  <si>
    <t>84012000 - Máquinas e aparelhos para a separação de isótopos, e suas partes</t>
  </si>
  <si>
    <t>84014000 - Partes de reatores nucleares</t>
  </si>
  <si>
    <t>84020000 - Caldeiras de vapor (geradores de vapor), excluídas as caldeiras para
aquecimento central concebidas para produção de água quente e vapor de
baixa pressão; caldeiras denominadas "de água superaquecida”.</t>
  </si>
  <si>
    <t>84030000 - Caldeiras para aquecimento central, exceto as da posição 84.02.</t>
  </si>
  <si>
    <t>84040000 - Aparelhos auxiliares para caldeiras das posições 84.02 ou 84.03 (por
exemplo, economizadores, superaquecedores, aparelhos de limpeza de
tubos ou de recuperação de gás); condensadores para máquinas a vapor.</t>
  </si>
  <si>
    <t>84050000 - Geradores de gás de ar (gás pobre) ou de gás de água, com ou sem
depuradores; geradores de acetileno e geradores semelhantes de gás,
operados a água, com ou sem depuradores.</t>
  </si>
  <si>
    <t>84060000 - Turbinas a vapor.</t>
  </si>
  <si>
    <t>84070000 - Motores de pistão, alternativo ou rotativo, de ignição por centelha
(motores de explosão).</t>
  </si>
  <si>
    <t>84080000 - Motores de pistão, de ignição por compressão (motores diesel ou semi-diesel).</t>
  </si>
  <si>
    <t>84090000 - Partes reconhecíveis como exclusiva ou principalmente destinadas aos
motores das posições 84.07 ou 84.08</t>
  </si>
  <si>
    <t>84100000 - Turbinas hidráulicas, rodas hidráulicas, e seus reguladores.</t>
  </si>
  <si>
    <t>84110000 - Turborreatores, turbopropulsores e outras turbinas a gás.</t>
  </si>
  <si>
    <t>84120000 - Outros motores e máquinas motrizes.</t>
  </si>
  <si>
    <t>84130000 - Bombas para líquidos, mesmo com dispositivo medidor; elevadores de
líquidos.</t>
  </si>
  <si>
    <t>84140000 - Ver descrição na tabela de incidência do ipi (tipi), conforme decreto nº
8.950/2016 e atualizações posteriores</t>
  </si>
  <si>
    <t>84141000 - Bombas de vácuo</t>
  </si>
  <si>
    <t>84142000 - Bombas de ar, de mão ou de pé</t>
  </si>
  <si>
    <t>84143011 - Com capacidade inferior a 4.700 frigorias/hora</t>
  </si>
  <si>
    <t>84143019 - Outros</t>
  </si>
  <si>
    <t>84143091 - Com capacidade inferior ou igual a 16.000 frigorias/hora</t>
  </si>
  <si>
    <t>84143099 - Outros</t>
  </si>
  <si>
    <t>84144010 - De deslocamento alternativo</t>
  </si>
  <si>
    <t>84144020 - De parafuso</t>
  </si>
  <si>
    <t>84144090 - Outros</t>
  </si>
  <si>
    <t>84145910 - Microventiladores com área de carcaça inferior a 90cm²</t>
  </si>
  <si>
    <t>84145990 - Outros</t>
  </si>
  <si>
    <t>84148011 - Estacionários, de pistão</t>
  </si>
  <si>
    <t>84148012 - De parafuso</t>
  </si>
  <si>
    <t>84148013 - De lóbulos paralelos (tipo "roots")</t>
  </si>
  <si>
    <t>84148019 - Outros</t>
  </si>
  <si>
    <t>84148021 - Turboalimentadores de ar, de peso inferior ou igual a 50kg para motores
das posições 84.07 ou 84.08, acionado pelos gases de escapamento dos
mesmos</t>
  </si>
  <si>
    <t>84148022 - Turboalimentadores de ar, de peso superior a 50kg para motores das
posições 84.07 ou 84.08, acionados pelos gases de escapamento dos
mesmos</t>
  </si>
  <si>
    <t>84148029 - Outros</t>
  </si>
  <si>
    <t>84148031 - De pistão</t>
  </si>
  <si>
    <t>84148032 - De parafuso</t>
  </si>
  <si>
    <t>84148033 - Centrífugos, de vazão máxima inferior a 22.000m3/h</t>
  </si>
  <si>
    <t>84148038 - Outros compressores centrífugos</t>
  </si>
  <si>
    <t>84148039 - Outros</t>
  </si>
  <si>
    <t>84185010 - Congeladores ("freezers")</t>
  </si>
  <si>
    <t>84185090 - Outros</t>
  </si>
  <si>
    <t>84186100 - Bombas de calor, exceto as máquinas e aparelhos de ar-condicionado
da posição 84.15</t>
  </si>
  <si>
    <t>84186910 - Máquinas não domésticas para preparação de sorvetes</t>
  </si>
  <si>
    <t>84186920 - Resfriadores de leite</t>
  </si>
  <si>
    <t>84186931 - De água ou sucos</t>
  </si>
  <si>
    <t>84186932 - De bebidas carbonatadas</t>
  </si>
  <si>
    <t>84186940 - Grupos frigoríficos de compressão para refrigeração ou para ar
condicionado, com capacidade inferior ou igual a 30.000 frigorias/hora</t>
  </si>
  <si>
    <t>84186991 - Resfriadores de água, de absorção por brometo de lítio</t>
  </si>
  <si>
    <t>84186999 - Outros</t>
  </si>
  <si>
    <t>84189900 - Outras</t>
  </si>
  <si>
    <t>84190000 - Aparelhos e dispositivos,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</si>
  <si>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84200000 - Calandras e laminadores, exceto os destinados ao tratamento de metais
ou vidro, e seus cilindros.</t>
  </si>
  <si>
    <t>84210000 - Ver descrição na tabela de incidência do ipi (tipi), conforme decreto nº
8.950/2016 e atualizações posteriores</t>
  </si>
  <si>
    <t>84211110 - Com capacidade de processamento de leite superior ou igual a 30.000
litros por hora</t>
  </si>
  <si>
    <t>84211190 - Outras</t>
  </si>
  <si>
    <t>84211290 - Outros</t>
  </si>
  <si>
    <t>84211910 - Centrifugadores para laboratórios de análises, ensaios ou pesquisas
científicas</t>
  </si>
  <si>
    <t>84211990 - Outros</t>
  </si>
  <si>
    <t>84212100 - Para filtrar ou depurar água</t>
  </si>
  <si>
    <t>84212200 - Para filtrar ou depurar bebidas, exceto água</t>
  </si>
  <si>
    <t>84212300 - Para filtrar óleos minerais nos motores de ignição por centelha ou por
compressão</t>
  </si>
  <si>
    <t>84212911 - Centrifugadores, incluídos os secadores centrífugos; aparelhos para filtrar
ou depurar líquidos ou gases. Hemodialisadores. Capilares.</t>
  </si>
  <si>
    <t>84212919 - Centrifugadores, incluídos os secadores centrífugos; aparelhos para filtrar
ou depurar líquidos ou gases. Hemodialisadores. Outros.</t>
  </si>
  <si>
    <t>84212920 - Aparelho de osmose inversa</t>
  </si>
  <si>
    <t>84212930 - Filtros-prensa</t>
  </si>
  <si>
    <t>84148090 - Outros</t>
  </si>
  <si>
    <t>84149010 - De bombas</t>
  </si>
  <si>
    <t>84149020 - De ventiladores ou coifas aspirantes</t>
  </si>
  <si>
    <t>84149031 - Pistões ou êmbolos</t>
  </si>
  <si>
    <t>84149032 - Anéis de segmento</t>
  </si>
  <si>
    <t>84149033 - Blocos de cilindros, cabeçotes e cárteres</t>
  </si>
  <si>
    <t>84149034 - Válvulas</t>
  </si>
  <si>
    <t>84149039 - Outras</t>
  </si>
  <si>
    <t>84150000 - Ver descrição na tabela de incidência do ipi (tipi), conforme decreto nº
8.950/2016 e atualizações posteriores</t>
  </si>
  <si>
    <t>84151090 - Outros</t>
  </si>
  <si>
    <t>84152010 - Com capacidade inferior ou igual a 30.000 frigorias/hora</t>
  </si>
  <si>
    <t>84152090 - Outros</t>
  </si>
  <si>
    <t>84158110 - Com capacidade inferior ou igual a 30.000 frigorias/hora</t>
  </si>
  <si>
    <t>84158190 - Outros</t>
  </si>
  <si>
    <t>84158210 - Com capacidade inferior ou igual a 30.000 frigorias/hora</t>
  </si>
  <si>
    <t>84158290 - Outros</t>
  </si>
  <si>
    <t>84158300 - Sem dispositivo de refrigeração</t>
  </si>
  <si>
    <t>84159000 - Partes</t>
  </si>
  <si>
    <t>84160000 - Queimadores para alimentação de fornalhas de combustíveis líquidos,
combustíveis sólidos pulverizados ou de gás; fornalhas automáticas,
incluídos as antefornalhas, grelhas mecânicas, descarregadores
mecânicos de cinzas e dispositivos semelhantes.</t>
  </si>
  <si>
    <t>84170000 - Fornos industriais ou de laboratório, incluídos os incineradores, não
elétricos.</t>
  </si>
  <si>
    <t>84180000 - Ver descrição na tabela de incidência do ipi (tipi), conforme decreto nº
8.950/2016 e atualizações posteriores</t>
  </si>
  <si>
    <t>84181000 - Refrigeradores, congeladores (“freezers”) e outros materiais, máquinas e
aparelhos para a produção de frio, com equipamento elétrico ou outro;
bombas de calor, exceto as máquinas e aparelhos de ar-condicionado da
posição 84.15. Combinações de refrigerador</t>
  </si>
  <si>
    <t>84182100 - Refrigeradores, congeladores (“freezers”) e outros materiais, máquinas e
aparelhos para a produção de frio, com equipamento elétrico ou outro;
bombas de calor, exceto as máquinas e aparelhos de ar-condicionado da
posição 84.15. Refrigeradores do tipo domé</t>
  </si>
  <si>
    <t>84183000 - Refrigeradores, congeladores (“freezers”) e outros materiais, máquinas e
aparelhos para a produção de frio, com equipamento elétrico ou outro;
bombas de calor, exceto as máquinas e aparelhos de ar-condicionado da
posição 84.15. Congeladores ("freezers") h</t>
  </si>
  <si>
    <t>84184000 - Refrigeradores, congeladores (“freezers”) e outros materiais, máquinas e
aparelhos para a produção de frio, com equipamento elétrico ou outro;
bombas de calor, exceto as máquinas e aparelhos de ar-condicionado da
posição 84.15. Congeladores ("freezers") v</t>
  </si>
  <si>
    <t>84212990 - Outros</t>
  </si>
  <si>
    <t>84213100 - Filtros de entrada de ar para motores de ignição por centelha ou por
compressão</t>
  </si>
  <si>
    <t>84213910 - Filtros eletrostáticos</t>
  </si>
  <si>
    <t>84213920 - Depuradores por conversão catalítica de gases de escape de veículos</t>
  </si>
  <si>
    <t>84213930 - Concentradores de oxigênio por depuração do ar, com capacidade de
saída inferior ou igual a 6 litros por minuto</t>
  </si>
  <si>
    <t>84213990 - Outros</t>
  </si>
  <si>
    <t>84219191 - Tambores rotativos com pratos ou discos separadores, de peso superior a
300kg</t>
  </si>
  <si>
    <t>84219199 - Outras</t>
  </si>
  <si>
    <t>84219910 - De aparelhos para filtrar ou depurar gases, da subposição 8421.39</t>
  </si>
  <si>
    <t>84219920 - Dos tipos utilizados em linhas de sangue para hemodiálise</t>
  </si>
  <si>
    <t>84219991 - Cartuchos de membrana de aparelhos de osmose inversa</t>
  </si>
  <si>
    <t>84219999 - Outras</t>
  </si>
  <si>
    <t>84220000 -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(incluídas as máquinas e aparelhos para embalar com
película termo-retrátil); máquinas e aparelhos para gaseificar bebidas</t>
  </si>
  <si>
    <t>84230000 - Aparelhos e instrumentos de pesagem, incluídas as básculas e balanças
para verificar peças usinadas (fabricadas*), excluídas as balanças
sensíveis a pesos não superiores a 5cg; pesos para quaisquer balanças</t>
  </si>
  <si>
    <t>84240000 - Aparelhos mecânicos (mesmo manuais) para projetar, dispersar ou
pulverizar líquidos ou pós; extintores, mesmo carregados; pistolas
aerográficas e aparelhos semelhantes; máquinas e aparelhos de jato de
areia, de jato de vapor e aparelhos de jato semelhantes.</t>
  </si>
  <si>
    <t>84250000 - Talhas, cadernais e moitões; guinchos e cabrestantes; macacos.</t>
  </si>
  <si>
    <t>84260000 - Cábreas; guindastes, incluídos os de cabo; pontes rolantes, pórticos de
descarga ou de movimentação, pontes-guindastes, carros-pórticos e
carros-guindastes.</t>
  </si>
  <si>
    <t>84270000 - Empilhadeiras; outros veículos para movimentação de carga e
semelhantes, equipados com dispositivos de elevação.</t>
  </si>
  <si>
    <t>84280000 - Outras máquinas e aparelhos de elevação, de carga, de descarga ou de
movimentação (por exemplo, elevadores, escadas rolantes,
transportadores, teleféricos).</t>
  </si>
  <si>
    <t>84290000 - “bulldozers”, “angledozers”, niveladores, raspo-transportadores
(“scrapers”), pás mecânicas, escavadores, carregadoras e pás
carregadoras, compactadores e rolos ou cilindros compressores,
autopropulsados.</t>
  </si>
  <si>
    <t>84300000 - Outras máquinas e aparelhos de terraplenagem, nivelamento, raspagem,
escavação, compactação, extração ou perfuração da terra, de minerais ou
minérios; bate-estacas e arranca-estacas; limpa-neves.</t>
  </si>
  <si>
    <t>84310000 - Partes reconhecíveis como exclusiva ou principalmente destinadas às
máquinas e aparelhos das posições 84.25 a 84.30.</t>
  </si>
  <si>
    <t>84320000 - Máquinas e aparelhos de uso agrícola, hortícola ou florestal, para
preparação ou trabalho do solo ou para cultura; rolos para gramados, ou
para campos de esporte.</t>
  </si>
  <si>
    <t>84330000 - Máquinas e aparelhos para colheita ou debulha de produtos agrícolas,
incluídas as enfardadeiras de palha ou forragem; cortadores de grama e
ceifeiras; máquinas para limpar ou selecionar ovos, frutas ou outros
produtos agrícolas, exceto as da posição 84.37.</t>
  </si>
  <si>
    <t>84340000 - Máquinas de ordenhar e máquinas e aparelhos para a indústria de
lacticínios.</t>
  </si>
  <si>
    <t>84350000 - Prensas, esmagadores e máquinas e aparelhos semelhantes, para
fabricação de vinho, sidra, sucos de frutas ou bebidas semelhantes.</t>
  </si>
  <si>
    <t>84360000 - Outras máquinas e aparelhos para agricultura, horticultura, silvicultura,
avicultura ou apicultura, incluídos os germinadores equipados com
dispositivos mecânicos ou térmicos e as chocadeiras e criadeiras para
avicultura.</t>
  </si>
  <si>
    <t>84370000 - Máquinas para limpeza, seleção ou peneiração de grãos ou de produtos
hortícolas secos; máquinas e aparelhos para a indústria de moagem ou
tratamento de cereais ou de produtos hortícolas secos, exceto dos tipos
utilizados em fazendas.</t>
  </si>
  <si>
    <t>84380000 - Máquinas e aparelhos não especificados nem compreendidos em outras
posições do presente capítulo, para preparação ou fabricação industrial de
alimentos ou de bebidas, exceto as máquinas e aparelhos para extração ou
preparação de óleos ou gorduras vegetais fixos ou de óleos ou gorduras
animais.</t>
  </si>
  <si>
    <t>84390000 - Máquinas e aparelhos para fabricação de pasta de matérias fibrosas
celulósicas ou para fabricação ou acabamento de papel ou cartão.</t>
  </si>
  <si>
    <t>84400000 - Máquinas e aparelhos para brochura ou encadernação, incluídas as
máquinas de costurar cadernos.</t>
  </si>
  <si>
    <t>84410000 - Outras máquinas e aparelhos para o trabalho da pasta de papel, do papel
ou cartão, incluídas as cortadeiras de todos os tipos.</t>
  </si>
  <si>
    <t>84420000 - Máquinas, aparelhos e equipamentos (exceto as máquinas-ferramentas
das posições 84.56 a 84.65), para preparação ou fabricação de clichês,
blocos, cilindros ou outros elementos de impressão; clichês, blocos,
cilindros ou outros elementos de impressão; pedras litográficas, blocos,
placas e cilindros, preparados para impressão (por exemplo, aplainados,
granulados ou polidos).</t>
  </si>
  <si>
    <t>84430000 - Ver descrição na tabela de incidência do ipi (tipi), conforme decreto nº
8.950/2016 e atualizações posteriores</t>
  </si>
  <si>
    <t>84431110 - Para impressão multicolor de jornais, de largura superior ou igual a
900mm, com unidades de impressão em configuração torre e dispositivos
automáticos de emendar bobinas</t>
  </si>
  <si>
    <t>84431190 - Outros</t>
  </si>
  <si>
    <t>84431200 - Máquinas e aparelhos de impressão, por ofsete, dos tipos utilizados em
escritórios, alimentados por folhas de formato não superior a 22cm x
36cm, quando não dobradas</t>
  </si>
  <si>
    <t>84431310 - Para impressão multicolor de recipientes de matérias plásticas,
cilíndricos, cônicos ou de faces planas</t>
  </si>
  <si>
    <t>84431321 - Com velocidade de impressão superior ou igual a 12.000 folhas por hora</t>
  </si>
  <si>
    <t>84431329 - Outros</t>
  </si>
  <si>
    <t>84431390 - Outros</t>
  </si>
  <si>
    <t>84431400 - Máquinas e aparelhos de impressão, tipográficos, alimentados por
bobinas, exceto máquinas e aparelhos flexográficos</t>
  </si>
  <si>
    <t>84431500 - Máquinas e aparelhos de impressão, tipográficos, não alimentados por
bobinas, exceto máquinas e aparelhos flexográficos</t>
  </si>
  <si>
    <t>84431600 - Máquinas e aparelhos de impressão, flexográficos</t>
  </si>
  <si>
    <t>84431710 - Rotativas para heliogravura</t>
  </si>
  <si>
    <t>84431790 - Outros</t>
  </si>
  <si>
    <t>84431910 - Para serigrafia</t>
  </si>
  <si>
    <t>84431990 - Outros</t>
  </si>
  <si>
    <t>84433223 - Outras matriciais (por pontos)</t>
  </si>
  <si>
    <t>84433910 - Máquinas de impressão por jato de tinta</t>
  </si>
  <si>
    <t xml:space="preserve">84433921 - </t>
  </si>
  <si>
    <t>84433928 - Outras, por processo indireto</t>
  </si>
  <si>
    <t>84433929 - Outras</t>
  </si>
  <si>
    <t>84433930 - Outras máquinas copiadoras</t>
  </si>
  <si>
    <t>84433990 - Outros</t>
  </si>
  <si>
    <t>84439110 - Partes de máquinas e aparelhos da subposição 8443.12</t>
  </si>
  <si>
    <t>84439191 - Dobradoras</t>
  </si>
  <si>
    <t>84439192 - Numeradores automáticos</t>
  </si>
  <si>
    <t>84439199 - Outros</t>
  </si>
  <si>
    <t>84440000 - Máquinas para extrudar, estirar, texturizar ou cortar matérias têxteis
sintéticas ou artificiais</t>
  </si>
  <si>
    <t>84450000 - Máquinas para preparação de matérias têxteis; máquinas para fiação,
dobragem ou torção, de matérias têxteis e outras máquinas e aparelhos
para fabricação de fios têxteis; máquinas de bobinar (incluídas as
bobinadeiras de trama) ou de dobar matérias têxteis e máquinas para
preparação de fios têxteis para sua utilização nas máquinas das posições
84.46 ou 84.47.</t>
  </si>
  <si>
    <t>84460000 - Teares para tecidos.</t>
  </si>
  <si>
    <t>84470000 - Teares para fabricar malhas, máquinas de costura por entrelaçamento
(“couture-tricotage”), máquinas para fabricar guipuras, tules, rendas,
bordados, passamanarias, galões ou redes; máquinas para inserir tufos.</t>
  </si>
  <si>
    <t>84480000 - Máquinas e aparelhos auxiliares para as máquinas das posições 84.44,
84.45, 84.46 ou 84.47 (por exemplo, ratieras (teares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</si>
  <si>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84490000 - Áquinas e aparelhos para fabricação ou acabamento de feltro ou de falsos
tecidos, em peça ou em formas determinadas, incluídas as máquinas e
aparelhos para fabricação de chapéus de feltro; formas para chapelaria</t>
  </si>
  <si>
    <t>84501100 - Máquinas de lavar roupa, mesmo com dispositivos de secagem.
Máquinas de capacidade não superior a 10kg, em peso de roupa seca:
máquinas inteiramente automáticas.</t>
  </si>
  <si>
    <t>84501900 - Máquinas de lavar roupa, mesmo com dispositivos de secagem.
Máquinas de capacidade não superior a 10kg, em peso de roupa seca:
outras.</t>
  </si>
  <si>
    <t>84502000 - Máquinas de capacidade superior a 10kg, em peso de roupa seca</t>
  </si>
  <si>
    <t>84502090 - Outras</t>
  </si>
  <si>
    <t>84509090 - Outras (partes de máquina de lavar roupa)</t>
  </si>
  <si>
    <t>84510000 - Máquinas e aparelhos (exceto as máquinas da posição 84.50) para lavar,
limpar, espremer, secar, passar, prensar (incluídas as prensas fixadoras),
branquear, tingir, para apresto e acabamento, para revestir ou impregnar
fios, tecidos ou obras de matérias têxteis e máquinas para revestir
tecidos-base ou outros suportes utilizados na fabricação de revestimentos</t>
  </si>
  <si>
    <t>84520000 - Máquinas de costura, exceto as de costurar cadernos da posição 84.40;
móveis, bases e tampas, próprios para máquinas de costura; agulhas para
máquinas de costura</t>
  </si>
  <si>
    <t>84530000 - Máquinas e aparelhos para preparar, curtir ou trabalhar couros ou peles,
ou para fabricar ou consertar calçados e outras obras de couro ou de pele,
exceto máquinas de costura.</t>
  </si>
  <si>
    <t>84540000 - Conversores, cadinhos ou colheres de fundição, lingoteiras e máquinas de
vazar (moldar), para metalurgia, aciaria ou fundição.</t>
  </si>
  <si>
    <t>84550000 - Laminadores de metais e seus cilindros.</t>
  </si>
  <si>
    <t>84560000 - Máquinas-ferramentas que trabalhem por eliminação de qualquer
matéria, operando por “laser” ou por outro feixe de luz ou de fótons, por
ultra-som, por eletroerosão, por processos eletroquímicos, por feixes de
elétrons, por feixes iônicos ou por jato de plasma.</t>
  </si>
  <si>
    <t>84570000 - Centros de usinagem, máquinas de sistema monostático (“single station”)
e máquinas de estações múltiplas, para trabalhar metais.</t>
  </si>
  <si>
    <t>84580000 - Tornos (incluídos os centros de torneamento) para metais.</t>
  </si>
  <si>
    <t>84590000 - Máquinas-ferramentas (incluídas as unidades com cabeça deslizante)
para furar, mandrilar, fresar ou roscar interior e exteriormente metais, por
eliminação de matéria, exceto os tornos (incluídos os centros de
torneamento) da posição 84.58.</t>
  </si>
  <si>
    <t>84600000 - Máquinas-ferramentas para rebarbar, afiar, amolar, retificar, brunir, polir
ou realizar outras operações de acabamento em metais ou ceramais
(“cermets”) por meio de mós, de abrasivos ou de produtos polidores,
exceto as máquinas de cortar ou acabar engrenagens da posição 84.61.</t>
  </si>
  <si>
    <t>84610000 - Máquinas-ferramentas para aplainar, plainas-limadoras, máquinas-ferramentas para escatelar, brochar, cortar ou acabar engrenagens, serrar,
seccionar e outras máquinas-ferramentas que trabalhem por eliminação
de metal ou de ceramais (“cermets”), não especificadas nem
compreendidas em outras posições.</t>
  </si>
  <si>
    <t>84620000 - Máquinas-ferramentas (incluídas as prensas) para forjar ou estampar,
martelos, martelos-pilões e martinetes, para trabalhar metais; máquinas-ferramentas (incluídas as prensas) para enrolar, arquear, dobrar,
endireitar, aplanar, cisalhar, puncionar ou chanfrar metais; prensas para
trabalhar metais ou carbonetos metálicos, não especificadas acima.</t>
  </si>
  <si>
    <t>84630000 - Outras máquinas-ferramentas para trabalhar metais ou ceramais
(“cermets”), que trabalhem sem eliminação de matéria.</t>
  </si>
  <si>
    <t>84640000 - Máquinas-ferramentas para trabalhar pedra, produtos cerâmicos,
concreto, fibrocimento ou matérias minerais semelhantes, ou para o
trabalho a frio do vidro.</t>
  </si>
  <si>
    <t>84650000 - Máquinas-ferramentas (incluídas as máquinas para pregar, grampear,
colar ou reunir por qualquer outro modo) para trabalhar madeira, cortiça,
osso, borracha endurecida, plásticos duros ou matérias duras
semelhantes.</t>
  </si>
  <si>
    <t>84660000 - Partes e acessórios reconhecíveis como exclusiva ou principalmente
destinados às máquinas das posições 84.56 a 84.65, incluídos os porta-peças e porta-ferramentas, as fieiras de abertura automática, os
dispositivos divisores e outros dispositivos especiais, para máquinas-ferramentas; porta-ferramentas para ferramentas manuais de todos os
tipos.</t>
  </si>
  <si>
    <t>84670000 - Ver descrição na tabela de incidência do ipi (tipi), conforme decreto nº
8.950/2016 e atualizações posteriores</t>
  </si>
  <si>
    <t>84671110 - Furadeiras</t>
  </si>
  <si>
    <t>84671190 - Outras</t>
  </si>
  <si>
    <t>84671900 - Outras</t>
  </si>
  <si>
    <t>84672991 - Cortadoras de tecidos</t>
  </si>
  <si>
    <t>84672993 - Martelos</t>
  </si>
  <si>
    <t>84678100 - Serras de corrente</t>
  </si>
  <si>
    <t>84678900 - -outras</t>
  </si>
  <si>
    <t>84679100 - De serras de corrente</t>
  </si>
  <si>
    <t>84679200 - De ferramentas pneumáticas</t>
  </si>
  <si>
    <t>84679900 - -outras</t>
  </si>
  <si>
    <t>84680000 - Ver descrição na tabela de incidência do ipi (tipi), conforme decreto nº
8.950/2016 e atualizações posteriores</t>
  </si>
  <si>
    <t>84681000 - Maçaricos de uso manual</t>
  </si>
  <si>
    <t>84682000 - Outras máquinas e aparelhos a gás</t>
  </si>
  <si>
    <t>84688010 - Para soldar por fricção</t>
  </si>
  <si>
    <t>84688090 - Outras</t>
  </si>
  <si>
    <t>84689010 - De maçaricos de uso manual</t>
  </si>
  <si>
    <t>84689020 - De máquinas e aparelhos para soldar por fricção</t>
  </si>
  <si>
    <t>84689090 - Outras</t>
  </si>
  <si>
    <t>84690010 - Máquinas de tratamento de textos</t>
  </si>
  <si>
    <t>84705090 - Ver descrição na tabela de incidência do ipi (tipi), conforme decreto nº
8.950/2016 e atualizações posteriores</t>
  </si>
  <si>
    <t>84709010 - Máquinas de franquear correspondência</t>
  </si>
  <si>
    <t>84709090 - Outras</t>
  </si>
  <si>
    <t>84716080 - Terminais de auto-atendimento bancário</t>
  </si>
  <si>
    <t>84718000 - Outras unidades de máquinas automáticas para processamento de dados</t>
  </si>
  <si>
    <t>84719019 - Outros</t>
  </si>
  <si>
    <t>84719090 - Outros</t>
  </si>
  <si>
    <t>84720000 - Ver descrição na tabela de incidência do ipi (tipi), conforme decreto nº
8.950/2016 e atualizações posteriores</t>
  </si>
  <si>
    <t>84721000 - Duplicadores</t>
  </si>
  <si>
    <t>84723090 - Outras</t>
  </si>
  <si>
    <t>84729010 - Distribuidores (dispensadores) automáticos de papel-moeda, incluídos os
que efetuam outras operações bancárias</t>
  </si>
  <si>
    <t>84729029 - Outras</t>
  </si>
  <si>
    <t>84729030 - Máquinas para selecionar e contar moedas ou papel-moeda</t>
  </si>
  <si>
    <t>84729040 - Máquinas para apontar lápis, perfuradores, grampeadores e
desgrampeadores</t>
  </si>
  <si>
    <t>84729091 - Máquinas para imprimir endereços ou para estampar placas de endereços</t>
  </si>
  <si>
    <t>84729099 - Outros</t>
  </si>
  <si>
    <t>84731010 - De máquinas para tratamento de textos</t>
  </si>
  <si>
    <t>84733049 - Partes e acessórios (exceto estojos, capas e semelhantes) reconhecíveis
como exclusiva ou principalmente destinados às máquinas e aparelhos
das posições 84.69 a 84.72. Circuitos impressos com componentes
elétricos ou eletrônicos, montados. Outros.</t>
  </si>
  <si>
    <t>84733099 - Outros (partes e acessórios das máquinas da posição 84.71)</t>
  </si>
  <si>
    <t>84734090 - Partes e acessórios (exceto estojos, capas e semelhantes) reconhecíveis
como exclusiva ou principalmente destinados às máquinas e aparelhos
das posições 84.69 a 84.72. Partes e acessórios das máquinas da posição
84.72. Outros.</t>
  </si>
  <si>
    <t>84740000 - Máquinas e aparelhos para selecionar, peneirar, separar, lavar, esmagar,
moer, misturar ou amassar terras, pedras, minérios ou outras substâncias
minerais sólidas (incluídos os pós e pastas); máquinas para aglomerar ou
moldar combustíveis minerais sólidos, pastas cerâmicas, cimento, gesso
ou outras matérias minerais em pó ou em pasta; máquinas para fazer
moldes de areia para fundição.</t>
  </si>
  <si>
    <t>84750000 - Máquinas para montagem de lâmpadas, tubos ou válvulas, elétricos ou
eletrônicos, ou de lâmpadas de luz relâmpago (“flash”), que tenham
invólucro de vidro; máquinas para fabricação ou trabalho a quente do
vidro ou das suas obras.</t>
  </si>
  <si>
    <t>84760000 - Máquinas automáticas de venda de produtos (por exemplo, selos,
cigarros, alimentos ou bebidas), incluídas as máquinas de trocar dinheiro.</t>
  </si>
  <si>
    <t>84770000 - Máquinas e aparelhos para trabalhar borracha ou plásticos ou para
fabricação de produtos dessas matérias, não especificados nem
compreendidos em outras posições deste capítulo.</t>
  </si>
  <si>
    <t>84780000 - Ver descrição na tabela de incidência do ipi (tipi), conforme decreto nº
8.950/2016 e atualizações posteriores</t>
  </si>
  <si>
    <t>84781010 - Batedoras-separadoras automáticas de talos e folhas</t>
  </si>
  <si>
    <t>84781090 - Outros</t>
  </si>
  <si>
    <t>84789000 - Partes</t>
  </si>
  <si>
    <t>84790000 - Máquinas e aparelhos mecânicos com função própria, não especificados
nem compreendidos em outras posições deste capítulo.</t>
  </si>
  <si>
    <t>84800000 - Caixas de fundição; placas de fundo para moldes; modelos para moldes;
moldes para metais (exceto lingoteiras), carbonetos metálicos, vidro,
matérias minerais, borracha ou plásticos.</t>
  </si>
  <si>
    <t>84801000 - Caixas de fundição</t>
  </si>
  <si>
    <t>84802000 - Placas de fundo para moldes</t>
  </si>
  <si>
    <t>84803000 - Modelos para moldes</t>
  </si>
  <si>
    <t>84804000 - Moldes para metais ou carbonetos metálicos:</t>
  </si>
  <si>
    <t>84805000 - Moldes para vidro</t>
  </si>
  <si>
    <t>84806000 - Moldes para matérias minerais</t>
  </si>
  <si>
    <t>84807000 - Moldes para borracha ou plásticos:</t>
  </si>
  <si>
    <t>84810000 - Ver descrição na tabela de incidência do ipi (tipi), conforme decreto nº
8.950/2016 e atualizações posteriores</t>
  </si>
  <si>
    <t>84811000 - Válvulas redutoras de pressão</t>
  </si>
  <si>
    <t>84812010 - Rotativas, de caixas de direção hidráulica</t>
  </si>
  <si>
    <t>84812011 - Com pinhão</t>
  </si>
  <si>
    <t>84812019 - Outras</t>
  </si>
  <si>
    <t>84812090 - Outras</t>
  </si>
  <si>
    <t>84813000 - Válvulas de retenção</t>
  </si>
  <si>
    <t>84814000 - Válvulas de segurança ou de alívio</t>
  </si>
  <si>
    <t>84818011 - Válvulas para escoamento</t>
  </si>
  <si>
    <t>84818019 - Outros</t>
  </si>
  <si>
    <t>84818021 - Válvulas de expansão termostáticas ou pressostáticas</t>
  </si>
  <si>
    <t>84818029 - Outros</t>
  </si>
  <si>
    <t>84818039 - Outros</t>
  </si>
  <si>
    <t>84818091 - Válvulas tipo aerossol</t>
  </si>
  <si>
    <t>84818092 - Válvulas solenóides</t>
  </si>
  <si>
    <t>84818093 - Válvulas tipo gaveta</t>
  </si>
  <si>
    <t>84818094 - Válvulas tipo globo</t>
  </si>
  <si>
    <t>84818095 - Válvulas tipo esfera</t>
  </si>
  <si>
    <t>84818096 - Válvulas tipo macho</t>
  </si>
  <si>
    <t>84818097 - Válvulas tipo borboleta</t>
  </si>
  <si>
    <t>84818099 - Outros</t>
  </si>
  <si>
    <t>84819010 - De válvulas tipo aerossol ou dos dispositivos do item 8481.80.1</t>
  </si>
  <si>
    <t>84819090 - Outras</t>
  </si>
  <si>
    <t>84820000 - Ver descrição na tabela de incidência do ipi (tipi), conforme decreto nº
8.950/2016 e atualizações posteriores</t>
  </si>
  <si>
    <t>84821010 - Rolamentos de esferas, de roletes ou de agulhas. Rolamentos de esferas.
De carga radial.</t>
  </si>
  <si>
    <t>84821090 - Outros (rolamentos de esferas)</t>
  </si>
  <si>
    <t>84822010 - De carga radial</t>
  </si>
  <si>
    <t>84822090 - Outros</t>
  </si>
  <si>
    <t>84823000 - Rolamentos de roletes em forma de tonel</t>
  </si>
  <si>
    <t>84824000 - Rolamentos de agulhas</t>
  </si>
  <si>
    <t>84825010 - De carga radial</t>
  </si>
  <si>
    <t>84825090 - Outros</t>
  </si>
  <si>
    <t>84828000 - Outros, incluídos os rolamentos combinados</t>
  </si>
  <si>
    <t>84829119 - Outras</t>
  </si>
  <si>
    <t>84829120 - Roletes cilíndricos</t>
  </si>
  <si>
    <t>84829130 - Roletes cônicos</t>
  </si>
  <si>
    <t>84829190 - Outros</t>
  </si>
  <si>
    <t>84829910 - Selos, capas e porta-esferas de aço</t>
  </si>
  <si>
    <t>84829990 - Outras</t>
  </si>
  <si>
    <t>84830000 - Árvores de transmissão (incluídas as árvores de "cames" e virabrequins)
e manivelas; mancais e "bronzes"; engrenagens e rodas de fricção; eixos
de esferas ou de roletes; redutores, multiplicadores, caixas de transmissão
e variadores de velocidade, incluídos os conversores de torque; volantes e
polias, incluídas as polias para cadernais; embreagens e dispositivos de
acoplamento, incluídas as juntas de articulação.</t>
  </si>
  <si>
    <t>84831010 - Virabrequins</t>
  </si>
  <si>
    <t>84831020 - Árvores de cames para comando de válvulas</t>
  </si>
  <si>
    <t>84831090 - Outros</t>
  </si>
  <si>
    <t>84840000 - Juntas metaloplásticas; jogos ou sortidos de juntas de composições
diferentes, apresentados em bolsas, envelopes ou embalagens
semelhantes; juntas de vedação mecânicas (selos mecânicos).</t>
  </si>
  <si>
    <t>84850000 - Ver descrição na tabela de incidência do ipi (tipi), conforme decreto nº
8.950/2016 e atualizações posteriores</t>
  </si>
  <si>
    <t>84860000 - Máquinas e aparelhos dos tipos utilizados exclusiva ou principalmente na
fabricação de "esferas" “(boules”) ou de plaquetas (“wafers”), de
dispositivos semicondutores, de circuitos integrados eletrônicos ou de
dispositivos de visualização de tela plana; máquinas e aparelhos
especificados na nota 9 c) do presente capítulo; partes e acessórios.</t>
  </si>
  <si>
    <t>84870000 - Partes de máquinas ou de aparelhos, não especificadas nem
compreendidas em outras posições do presente capítulo, que não
contenham conexões elétricas, partes isoladas eletricamente, bobinas,
contatos nem quaisquer outros elementos com características elétricas.</t>
  </si>
  <si>
    <t>85010000 - Motores e geradores, elétricos, exceto os grupos eletrogêneos.</t>
  </si>
  <si>
    <t>85020000 - Grupos eletrogêneos e conversores rotativos elétricos.</t>
  </si>
  <si>
    <t>85030000 - Ver descrição na tabela de incidência do ipi (tipi), conforme decreto nº
8.950/2016 e atualizações posteriores</t>
  </si>
  <si>
    <t>85030010 - De motores ou geradores das subposições 8501.10, 8501.20, 8501.31,
8501.32 ou do item 8501.40.1</t>
  </si>
  <si>
    <t>85030090 - Outras</t>
  </si>
  <si>
    <t>85041000 - Transformadores elétricos, conversores elétricos estáticos (retificadores,
por exemplo), bobinas de reatância e de auto-indução. Reatores para
lâmpadas ou tubos de descargas.</t>
  </si>
  <si>
    <t>85042100 - De potência não superior a 650kva</t>
  </si>
  <si>
    <t>85042200 - De potência superior a 650kva mas não superior a 10.000kva</t>
  </si>
  <si>
    <t>85042300 - De potência superior a 10.000kva</t>
  </si>
  <si>
    <t>85043111 - Transformadores de corrente</t>
  </si>
  <si>
    <t>85043119 - Outros</t>
  </si>
  <si>
    <t>85043211 - Para freqüências inferiores ou iguais a 60hz</t>
  </si>
  <si>
    <t>85043219 - Outros</t>
  </si>
  <si>
    <t>85043221 - Para freqüências inferiores ou iguais a 60hz</t>
  </si>
  <si>
    <t>85043300 - De potência superior a 16kva mas não superior a 500kva</t>
  </si>
  <si>
    <t>85043400 - De potência superior a 500kva</t>
  </si>
  <si>
    <t>85044010 - Transformadores elétricos, conversores elétricos estáticos (retificadores,
por exemplo), bobinas de reatância e de auto-indução. Conversores
estáticos. Carregadores de acumuladores.</t>
  </si>
  <si>
    <t>85044021 - Transformadores elétricos, conversores elétricos estáticos (retificadores,
por exemplo), bobinas de reatância e de auto-indução. Retificadores,
exceto carregadores de acumuladores. De cristal (semicondutores).</t>
  </si>
  <si>
    <t>85044022 - Eletrolíticos</t>
  </si>
  <si>
    <t>85044029 - Transformadores elétricos, conversores elétricos estáticos (retificadores,
por exemplo), bobinas de reatância e de auto-indução. Retificadores,
exceto carregadores de acumuladores. Outros.</t>
  </si>
  <si>
    <t>85044030 - Conversores de corrente contínua</t>
  </si>
  <si>
    <t>85044040 - Equipamento de alimentação ininterrupta de energia (ups ou no break)</t>
  </si>
  <si>
    <t>85044050 - Conversores eletrônicos de freqüência, para variação de velocidade de
motores elétricos</t>
  </si>
  <si>
    <t>85044090 - Outros</t>
  </si>
  <si>
    <t>85049010 - Núcleos de pó ferromagnético</t>
  </si>
  <si>
    <t>85049030 - Transformadores elétricos, conversores elétricos estáticos (retificadores,
por exemplo), bobinas de reatância e de auto-indução. Partes. De
transformadores das subposições 8504.21, 8504.22, 8504.23, 8504.33 ou
8504.34.</t>
  </si>
  <si>
    <t>85049040 - Transformadores elétricos, conversores elétricos estáticos (retificadores,
por exemplo), bobinas de reatância e de auto-indução. Partes. De
conversores estáticos, exceto de carregadores de acumuladores e de
retificadores.</t>
  </si>
  <si>
    <t>85049090 - Transformadores elétricos, conversores elétricos estáticos (retificadores,
por exemplo), bobinas de reatância e de auto-indução. Partes. Outras.</t>
  </si>
  <si>
    <t>85050000 - Ver descrição na tabela de incidência do ipi (tipi), conforme decreto nº
8.950/2016 e atualizações posteriores</t>
  </si>
  <si>
    <t>85051910 - De ferrita (cerâmicos)</t>
  </si>
  <si>
    <t>85052090 - Outros</t>
  </si>
  <si>
    <t>85059010 - Eletroímãs</t>
  </si>
  <si>
    <t>85059080 - Outros</t>
  </si>
  <si>
    <t>85059090 - Partes</t>
  </si>
  <si>
    <t>85071000 - De chumbo, do tipo utilizado para o arranque dos motores de pistão</t>
  </si>
  <si>
    <t>85071010 - De capacidade inferior ou igual a 20ah e tensão inferior ou a igual a 12v</t>
  </si>
  <si>
    <t>85071090 - Outros</t>
  </si>
  <si>
    <t>85072010 - De peso inferior ou igual a 1.000kg</t>
  </si>
  <si>
    <t>85072090 - Outros</t>
  </si>
  <si>
    <t>85073011 - Acumuladores elétricos - de capacidade inferior ou igual a 15 ah</t>
  </si>
  <si>
    <t>85073019 - Outros</t>
  </si>
  <si>
    <t>85073090 - Outros</t>
  </si>
  <si>
    <t>85074000 - De níquel-ferro</t>
  </si>
  <si>
    <t>85075000 - De níquel-hidreto metálico</t>
  </si>
  <si>
    <t>85076000 - De íon de lítio</t>
  </si>
  <si>
    <t>85078000 - Acumuladores elétricos e seus separadores, mesmo de forma quadrada ou
retangular. Outros acumuladores.</t>
  </si>
  <si>
    <t>85079010 - Separadores</t>
  </si>
  <si>
    <t>85079020 - Recipientes de plástico, suas tampas e tampões</t>
  </si>
  <si>
    <t>85079090 - Outras</t>
  </si>
  <si>
    <t>85086000 - Outros aspiradores</t>
  </si>
  <si>
    <t>85087000 - Partes</t>
  </si>
  <si>
    <t>85110000 - Aparelhos e dispositivos elétricos de ignição ou de arranque para motores
de ignição por centelha (faísca) ou por compressão (por exemplo:
magnetos, dínamos-magnetos, bobinas de ignição, velas de ignição ou de
aquecimento, motores de arranque); geradores (dínamos e alternadores,
por exemplo) e conjuntores-disjuntores utilizados com estes motores</t>
  </si>
  <si>
    <t>85120000 - Aparelhos elétricos de iluminação ou de sinalização (exceto os da
posição 85.39), limpadores de pára-brisas, degeladores e desembaçadores
elétricos, dos tipos utilizados em ciclos e automóveis</t>
  </si>
  <si>
    <t>85130000 - Lanternas elétricas portáteis destinadas a funcionar por meio de sua
própria fonte de energia (por exemplo, de pilhas, de acumuladores, de
magnetos), excluídos os aparelhos de iluminação da posição 85.12.</t>
  </si>
  <si>
    <t>85140000 - Ver descrição na tabela de incidência do ipi (tipi), conforme decreto nº
8.950/2016 e atualizações posteriores</t>
  </si>
  <si>
    <t>85141010 - Industriais</t>
  </si>
  <si>
    <t>85141090 - Outros</t>
  </si>
  <si>
    <t>85142011 - Industriais</t>
  </si>
  <si>
    <t>85142019 - Outros</t>
  </si>
  <si>
    <t>85142020 - Por perdas dielétricas</t>
  </si>
  <si>
    <t>85143011 - Industriais</t>
  </si>
  <si>
    <t>85143019 - Outros</t>
  </si>
  <si>
    <t>85143021 - Industriais</t>
  </si>
  <si>
    <t>85143029 - Outros</t>
  </si>
  <si>
    <t>85143090 - Outros</t>
  </si>
  <si>
    <t>85144000 - Outros aparelhos para tratamento térmico de matérias por indução ou
por perdas dielétricas</t>
  </si>
  <si>
    <t>85149000 - Partes</t>
  </si>
  <si>
    <t>85150000 - Ver descrição na tabela de incidência do ipi (tipi), conforme decreto nº
8.950/2016 e atualizações posteriores</t>
  </si>
  <si>
    <t>85151100 - Ferros e pistolas</t>
  </si>
  <si>
    <t>85151900 - OIutros</t>
  </si>
  <si>
    <t>85152100 - Inteira ou parcialmente automáticos</t>
  </si>
  <si>
    <t>85152900 - Outros</t>
  </si>
  <si>
    <t>85153110 - Robôs para soldar, por arco, em atmosfera inerte (mig -“metal inert gas”)
ou atmosfera ativa (mag -“metal active gas”), de comando numérico</t>
  </si>
  <si>
    <t>85153190 - Outros</t>
  </si>
  <si>
    <t>85153900 - Outros</t>
  </si>
  <si>
    <t>85158010 - Para soldar a "laser"</t>
  </si>
  <si>
    <t>85158090 - Outros</t>
  </si>
  <si>
    <t>85159000 - Partes</t>
  </si>
  <si>
    <t>85161000 - Aquecedores elétricos de água, incluídos os de imersão</t>
  </si>
  <si>
    <t>85167100 - Aparelhos para preparação de café ou de chá</t>
  </si>
  <si>
    <t>85167920 - Fritadoras</t>
  </si>
  <si>
    <t>85167990 - Outros</t>
  </si>
  <si>
    <t>85168010 - Para aparelhos da presente posição</t>
  </si>
  <si>
    <t>85169000 - Partes</t>
  </si>
  <si>
    <t>85171810 - Interfones</t>
  </si>
  <si>
    <t>85171891 - Não combinados com outros aparelhos</t>
  </si>
  <si>
    <t>85171899 - Outros</t>
  </si>
  <si>
    <t>85176130 - De telefonia celular</t>
  </si>
  <si>
    <t>85176199 - Outras</t>
  </si>
  <si>
    <t>85176212 - Multiplexadores por divisão de tempo, digitais síncronos, com velocidade
de transmissão igual ou superior a 155mbits/s</t>
  </si>
  <si>
    <t>85176213 - Outros multiplexadores por divisão de tempo</t>
  </si>
  <si>
    <t>85176214 - Concentradores de linhas de assinantes (terminais de central ou terminal
remoto)</t>
  </si>
  <si>
    <t>85176221 - Centrais automáticas públicas, para comutação eletrônica, incluídas as de
trânsito</t>
  </si>
  <si>
    <t>85176222 - Centrais automáticas privadas, de capacidade inferior ou igual a 25
ramais</t>
  </si>
  <si>
    <t>85176223 - Centrais automáticas privadas, de capacidade superior a 25 ramais e
inferior ou igual a 200 ramais</t>
  </si>
  <si>
    <t>85176224 - Centrais automáticas privadas, de capacidade superior a 200 ramais</t>
  </si>
  <si>
    <t>85176229 - Outros</t>
  </si>
  <si>
    <t>85176232 - Outras centrais automáticas para comutação por pacote</t>
  </si>
  <si>
    <t>85176239 - Outros</t>
  </si>
  <si>
    <t>85176241 - Com capacidade de conexão sem fio</t>
  </si>
  <si>
    <t>85176248 - Outros, com velocidade de interface serial de pelo menos 4mbits/s,
próprios para interconexão de redes locais com protocolos distintos</t>
  </si>
  <si>
    <t>85176251 - Terminais ou repetidores sobre linhas metálicas</t>
  </si>
  <si>
    <t>85176254 - Distribuidores de conexões para redes ("hubs")</t>
  </si>
  <si>
    <t>85176255 - Moduladores/demoduladores (“modems”)</t>
  </si>
  <si>
    <t>85176259 - Outros</t>
  </si>
  <si>
    <t>85176262 - De tecnologia celular</t>
  </si>
  <si>
    <t>85176272 - De frequência inferior a 15ghz e de taxa de transmissão inferior ou igual
a 34mbits/s, exceto os de sistema bidirecional de radiomensagens de taxa
de transmissão inferior ou igual a 112kbits/s</t>
  </si>
  <si>
    <t>85176277 - Outros, de frequência inferior a 15ghz</t>
  </si>
  <si>
    <t>85176278 - De freqüência superior ou igual a 15ghz, mas inferior ou igual a 23ghz e
taxa de transmissão inferior ou igual a 8mbit/s</t>
  </si>
  <si>
    <t>85176279 - Outros</t>
  </si>
  <si>
    <t>85176294 - Tradutores (conversores) de protocolos para interconexão de redes
(“gateways”)</t>
  </si>
  <si>
    <t>85176299 - Outros</t>
  </si>
  <si>
    <t>85176900 - Outros</t>
  </si>
  <si>
    <t>85177010 - Circuitos impressos com componentes elétricos ou eletrônicos, montados</t>
  </si>
  <si>
    <t>85177091 - Gabinetes, bastidores e armações</t>
  </si>
  <si>
    <t>85182100 - Alto-falante único montado no seu receptáculo</t>
  </si>
  <si>
    <t>85182200 - Alto-falantes múltiplos montados no mesmo receptáculo</t>
  </si>
  <si>
    <t>85182990 - Outros</t>
  </si>
  <si>
    <t>85189010 - Microfones e seus suportes; alto-falantes, mesmo montados nos seus
receptáculos; fones de ouvido, mesmo combinados com um microfone, e
conjuntos ou sortidos constituídos por um microfone e um ou mais alto-falantes; amplificadores elétricos de audiofreqüên</t>
  </si>
  <si>
    <t>85189090 - Outras</t>
  </si>
  <si>
    <t>85229020 - Gabinetes</t>
  </si>
  <si>
    <t>85255019 - Outros</t>
  </si>
  <si>
    <t>85256090 - Outros</t>
  </si>
  <si>
    <t>85269100 - Aparelhos de radionavegação</t>
  </si>
  <si>
    <t>85269200 - Aparelhos de radiotelecomando</t>
  </si>
  <si>
    <t>85272110 - Com toca-fitas</t>
  </si>
  <si>
    <t>85272190 - Outros</t>
  </si>
  <si>
    <t>85272900 - Outros</t>
  </si>
  <si>
    <t>85272990 - Outros</t>
  </si>
  <si>
    <t>85287111 - Sem saída de radiofreqüência (rf) modulada nos canais 3 ou 4, com
saídas de áudio balanceadas com impedância de 600 ohms, próprio para
montagem em "racks" e com saída de vídeo com conector bnc</t>
  </si>
  <si>
    <t>85291011 - Partes reconhecíveis como exclusiva ou principalmente destinadas aos
aparelhos das posições 85.25 a 85.28. Antenas. Com refletor parabólico.</t>
  </si>
  <si>
    <t>85291019 - Partes reconhecíveis como exclusiva ou principalmente destinadas aos
aparelhos das posições 85.25 a 85.28. Antenas. Outras.</t>
  </si>
  <si>
    <t>85291090 - Partes reconhecíveis como exclusiva ou principalmente destinadas aos
aparelhos das posições 85.25 a 85.28. Antenas e refletores de antenas de
qualquer tipo; partes reconhecíveis como de utilização conjunta com
esses artefatos. Outros.</t>
  </si>
  <si>
    <t>85299020 - De aparelhos das posições 85.27 ou 85.28</t>
  </si>
  <si>
    <t>85299040 - Partes reconhecíveis como exclusiva ou principalmente destinadas aos
aparelhos das posições 85.25 a 85.28. De aparelhos da subposição
8526.91.</t>
  </si>
  <si>
    <t>85301090 - Aparelhos elétricos de sinalização (excluindo os de transmissão de
mensagens), de segurança, de controle e de comando, para vias férreas ou
semelhantes, vias terrestres ou fluviais, para áreas ou parques de
estacionamento, instalações portuárias ou para a</t>
  </si>
  <si>
    <t>85311090 - Outros</t>
  </si>
  <si>
    <t>85312000 - Aparelhos elétricos de sinalização acústica ou visual (por exemplo,
campainhas, sirenes, quadros indicadores, aparelhos de alarme para
proteção contra roubo ou incêndio), exceto os das posições 85.12 ou
85.30. Painéis indicadores com dispositivos de crist</t>
  </si>
  <si>
    <t>85318000 - Aparelhos elétricos de sinalização acústica ou visual (por exemplo,
campainhas, sirenes, quadros indicadores, aparelhos de alarme para
proteção contra roubo ou incêndio), exceto os das posições 85.12 ou
85.30. Outros aparelhos.</t>
  </si>
  <si>
    <t>85319000 - Aparelhos elétricos de sinalização acústica ou visual (por exemplo,
campainhas, sirenes, quadros indicadores, aparelhos de alarme para
proteção contra roubo ou incêndio), exceto os das posições 85.12 ou
85.30. Partes.</t>
  </si>
  <si>
    <t>85321000 - Condensadores fixos concebidos para linhas elétricas de 50/60hz e
capazes de absorver uma potência reativa igual ou superior a 0,5kvar
(condensadores de potência)</t>
  </si>
  <si>
    <t>85322200 - Condensadores elétricos, fixos, variáveis ou ajustáveis. Eletrolíticos de
alumínio.</t>
  </si>
  <si>
    <t>85322590 - Condensadores elétricos, fixos, variáveis ou ajustáveis. Com dielétrico de
papel ou de plásticos. Outros.</t>
  </si>
  <si>
    <t>85322990 - Outros</t>
  </si>
  <si>
    <t>85332110 - Resistências elétricas - de fio</t>
  </si>
  <si>
    <t>85332190 - Outras</t>
  </si>
  <si>
    <t>85332900 - Outras</t>
  </si>
  <si>
    <t>85333110 - Potenciômetros</t>
  </si>
  <si>
    <t>85334012 - Resistências elétricas (incluídos os reostatos e os potenciômetros), exceto
de aquecimento. Resistências não lineares semicondutoras. Varistores.</t>
  </si>
  <si>
    <t>85340010 - Circuitos impressos - simples face, rígidos</t>
  </si>
  <si>
    <t>85340020 - Circuitos impressos - simples face, flexíveis</t>
  </si>
  <si>
    <t>85340030 - Circuitos impressos - dupla face, rígidos</t>
  </si>
  <si>
    <t>85340039 - Outros</t>
  </si>
  <si>
    <t>85340050 - Circuitos impressos - multicamadas</t>
  </si>
  <si>
    <t>85352100 - Para tensão inferior a 72,5kv</t>
  </si>
  <si>
    <t>85352900 - Aparelhos para interrupção, seccionamento, proteção, derivação, ligação
ou conexão de circuitos elétricos (por exemplo, interruptores,
comutadores, corta-circuitos, pára-raios, limitadores de tensão,
eliminadores de onda, tomadas de corrente e outros cone</t>
  </si>
  <si>
    <t>85353017 - Outros, com dispositivo de acionamento não automático</t>
  </si>
  <si>
    <t>85353018 - Outros, com dispositivo de acionamento automático, exceto os de
contatos imersos em meio líquido</t>
  </si>
  <si>
    <t>85353027 - Outros, com dispositivo de acionamento não automático</t>
  </si>
  <si>
    <t>85353028 - Outros, com dispositivo de acionamento automático, exceto os de
contatos imersos em meio líquido</t>
  </si>
  <si>
    <t>85354010 - Aparelhos para interrupção, seccionamento, proteção, derivação, ligação
ou conexão de circuitos elétricos (por exemplo, interruptores,
comutadores, corta-circuitos, pára-raios, limitadores de tensão,
eliminadores de onda, tomadas de corrente e outros cone</t>
  </si>
  <si>
    <t>85361000 - Fusíveis e corta-circuitos de fusíveis</t>
  </si>
  <si>
    <t>85362000 - Disjuntores</t>
  </si>
  <si>
    <t>85363000 - Outros aparelhos para proteção de circuitos elétricos</t>
  </si>
  <si>
    <t>85364100 - Para tensão não superior a 60v</t>
  </si>
  <si>
    <t>85364900 - Outros</t>
  </si>
  <si>
    <t>85365090 - Outros</t>
  </si>
  <si>
    <t>85366100 - Suportes para lâmpadas</t>
  </si>
  <si>
    <t>85366910 - Tomada polarizada e tomada blindada</t>
  </si>
  <si>
    <t>85366990 - Outros</t>
  </si>
  <si>
    <t>85369010 - Conectores para cabos planos constituídos por condutores paralelos
isolados individualmente</t>
  </si>
  <si>
    <t>85369040 - Conectores para circuito impresso</t>
  </si>
  <si>
    <t>85369090 - Outros</t>
  </si>
  <si>
    <t>85371020 - Controladores programáveis</t>
  </si>
  <si>
    <t>85371090 - Outros</t>
  </si>
  <si>
    <t>85372090 - Outros</t>
  </si>
  <si>
    <t>85381000 - Quadros, painéis, consoles, cabinas, armários e outros suportes, da
posição 85.37, desprovidos dos seus aparelhos</t>
  </si>
  <si>
    <t>85389010 - Partes reconhecíveis como exclusiva ou principalmente destinadas aos
aparelhos das posições 85.35, 85.36 ou 85.37. Circuitos impressos com
componentes elétricos ou eletrônicos, montados.</t>
  </si>
  <si>
    <t>85389020 - Partes reconhecíveis como exclusiva ou principalmente destinadas aos
aparelhos das posições 85.35, 85.36 ou 85.37. De disjuntores, para tensão
superior ou igual a 72,5kv.</t>
  </si>
  <si>
    <t>85389090 - Outras</t>
  </si>
  <si>
    <t>85392910 - Para tensão inferior ou igual a 15v</t>
  </si>
  <si>
    <t>85392990 - Outros</t>
  </si>
  <si>
    <t>85408990 - Outros</t>
  </si>
  <si>
    <t>85410000 - Diodos, transistores e dispositivos semelhantes semicondutores;
dispositivos fotossensíveis semicondutores, incluídas as células
fotovoltaicas, mesmo montadas em módulos ou em painéis; diodos
emissores de luz; cristais piezelétricos montados.</t>
  </si>
  <si>
    <t>85430000 - Ver descrição na tabela de incidência do ipi (tipi), conforme decreto nº
8.950/2016 e atualizações posteriores</t>
  </si>
  <si>
    <t>85431000 - Aceleradores de partículas</t>
  </si>
  <si>
    <t>85432000 - Geradores de sinais</t>
  </si>
  <si>
    <t>85433000 - Máquinas e aparelhos de galvanoplastia, eletrólise ou eletroforese</t>
  </si>
  <si>
    <t>85437013 - Para distribuição de sinais de televisão</t>
  </si>
  <si>
    <t>85437039 - Outros</t>
  </si>
  <si>
    <t>85437040 - Transcodificadores ou conversores de padrões de televisão</t>
  </si>
  <si>
    <t>85437092 - Eletrificadores de cercas</t>
  </si>
  <si>
    <t>85437099 - Outros</t>
  </si>
  <si>
    <t>85439090 - Outras</t>
  </si>
  <si>
    <t>85442000 - Cabos coaxiais e outros condutores elétricos coaxiais</t>
  </si>
  <si>
    <t>85443000 - Jogos de fios para velas de ignição e outros jogos de fios dos tipos
utilizados em quaisquer veículos</t>
  </si>
  <si>
    <t>85444200 - Munidos de peças de conexão</t>
  </si>
  <si>
    <t>85444900 - Outros</t>
  </si>
  <si>
    <t>85460000 - Isoladores de qualquer matéria, para usos elétricos</t>
  </si>
  <si>
    <t>85470000 -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</si>
  <si>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85489090 - Outras</t>
  </si>
  <si>
    <t>86011000 - De fonte externa de eletricidade</t>
  </si>
  <si>
    <t>86021000 - Outras locomotivas e locotratores; tênderes. Locomotivas diesel-elétricas.</t>
  </si>
  <si>
    <t>86031000 - Litorinas, mesmo para circulação urbana, exceto as da posição 86.04. De
fonte externa de eletricidade.</t>
  </si>
  <si>
    <t>86040090 - Veículos para inspeção e manutenção de vias férreas ou semelhantes,
mesmo autopropulsados (por exemplo, vagões-oficinas, vagões-guindastes, vagões equipados com batedores de balastro, alinhadores de
vias, viaturas para testes e dresinas). Outros.</t>
  </si>
  <si>
    <t>86050010 - Vagões de passageiros, furgões para bagagem, vagões-postais e outros
vagões especiais, para vias férreas ou semelhantes (excluídas as viaturas
da posição 86.04). Vagões de passageiros.</t>
  </si>
  <si>
    <t>86061000 - Vagões para transporte de mercadorias sobre vias férreas. Vagões-tanques e semelhantes.</t>
  </si>
  <si>
    <t>86063000 - Vagões para transporte de mercadorias sobre vias férreas. Vagões de
descarga automática, exceto os da subposição 8606.10.</t>
  </si>
  <si>
    <t>86069100 - Vagões para transporte de mercadorias sobre vias férreas. Cobertos e
fechados.</t>
  </si>
  <si>
    <t>86069200 - Vagões para transporte de mercadorias sobre vias férreas. Abertos, com
paredes fixas de altura superior a 60cm.</t>
  </si>
  <si>
    <t>86069900 - Vagões para transporte de mercadorias sobre vias férreas. Outros.</t>
  </si>
  <si>
    <t>86071110 - Partes de veículos para vias férreas ou semelhantes. "bogies" e bísseis, de
tração. Truques ("bogies").</t>
  </si>
  <si>
    <t>86071911 - Partes de veículos para via férreas ou semelhantes - com rolamentos
incorporados, de diâmetro exterior superior a 190 mm, do tipo dos
utilizados em eixos de rodas de vagões ferroviários</t>
  </si>
  <si>
    <t>86071919 - Outros</t>
  </si>
  <si>
    <t>86071990 - Partes de veículos para vias férreas ou semelhantes. "bogies", bísseis,
eixos e rodas, e suas partes: outros.</t>
  </si>
  <si>
    <t>86072100 - Partes de veículos para vias férreas ou semelhantes. Freios e suas partes:
freios a ar comprimido e suas partes.</t>
  </si>
  <si>
    <t>86072900 - Freios e suas partes - outros</t>
  </si>
  <si>
    <t>86073000 - Partes de veículos para vias férreas ou semelhantes. Ganchos e outros
sistemas de engate, pára-choques, e suas partes.</t>
  </si>
  <si>
    <t>86079100 - Partes de veículos para vias férreas ou semelhantes. De locomotivas ou
de locotratores.</t>
  </si>
  <si>
    <t>86079900 - Partes de veículos para vias férreas ou semelhantes. Outras.</t>
  </si>
  <si>
    <t>86080012 - Material fixo de vias férreas ou semelhantes; aparelhos mecânicos
(incluídos os eletromecânicos) de sinalização, de segurança, de controle
ou de comando para vias férreas ou semelhantes, rodoviárias ou fluviais,
para áreas ou parques de estacionamento, in</t>
  </si>
  <si>
    <t>87011000 - Motocultores</t>
  </si>
  <si>
    <t>87012000 - Tratores rodoviários para semi-reboques</t>
  </si>
  <si>
    <t>87013000 - Tratores de lagartas</t>
  </si>
  <si>
    <t>87019010 - Tratores especialmente concebidos para arrastar troncos ("log skidders")</t>
  </si>
  <si>
    <t>87019090 - Outros</t>
  </si>
  <si>
    <t>87019410 - Ver descrição na tabela de incidência do ipi (tipi), conforme decreto nº
8.950/2016 e atualizações posteriores</t>
  </si>
  <si>
    <t>87019510 - Ver descrição na tabela de incidência do ipi (tipi), conforme decreto nº
8.950/2016 e atualizações posteriores</t>
  </si>
  <si>
    <t>87020000 - Veículos automóveis para transporte de 10 pessoas ou mais, incluindo o
motorista</t>
  </si>
  <si>
    <t>87032290 - Outros</t>
  </si>
  <si>
    <t>87032390 - Outros</t>
  </si>
  <si>
    <t>87041010 - Com capacidade de carga superior ou igual a 85 toneladas</t>
  </si>
  <si>
    <t>87041090 - Outros</t>
  </si>
  <si>
    <t>87051010 - Com haste telescópica de altura máxima superior ou igual a 42m,
capacidade máxima de elevação superior ou igual a 60 toneladas,
segundo a norma din 15019, parte 2, e com 2 ou mais eixos de rodas
direcionáveis</t>
  </si>
  <si>
    <t>87051090 - Outros</t>
  </si>
  <si>
    <t>87052000 - Torres ("derricks") automóveis, para sondagem ou perfuração</t>
  </si>
  <si>
    <t>87053000 - Veículos de combate a incêndio</t>
  </si>
  <si>
    <t>87054000 - Caminhões-betoneiras</t>
  </si>
  <si>
    <t>87059010 - Caminhões para a determinação de parâmetros físicos característicos
(perfilagem) de poços petrolíferos</t>
  </si>
  <si>
    <t>87059090 - Outros</t>
  </si>
  <si>
    <t>87060020 - Dos veículos das subposições 8701.10, 8701.30, 8701.90 ou 8704.10</t>
  </si>
  <si>
    <t>87070000 - Carroçarias para os veículos automóveis das posições 87.01 a 87.05,
incluídas as cabinas.</t>
  </si>
  <si>
    <t>87071000 - Para os veículos da posição 87.03</t>
  </si>
  <si>
    <t>87079010 - Dos veículos das subposições 8701.10, 8701.30, 8701.90 ou 8704.10</t>
  </si>
  <si>
    <t>87079090 - Outras</t>
  </si>
  <si>
    <t>87081000 - Pára-choques e suas partes</t>
  </si>
  <si>
    <t>87082100 - Cintos de segurança</t>
  </si>
  <si>
    <t>87082911 - Pára-lamas</t>
  </si>
  <si>
    <t>87082912 - Grades de radiadores</t>
  </si>
  <si>
    <t>87082913 - Portas</t>
  </si>
  <si>
    <t>87082914 - Painéis de instrumentos</t>
  </si>
  <si>
    <t>87082919 - Outros</t>
  </si>
  <si>
    <t>87082991 - Pára-lamas</t>
  </si>
  <si>
    <t>87082992 - Grades de radiadores</t>
  </si>
  <si>
    <t>87082993 - Portas</t>
  </si>
  <si>
    <t>87082994 - Painéis de instrumentos</t>
  </si>
  <si>
    <t>87082995 - Geradores de gás para acionar retratores de cintos de segurança</t>
  </si>
  <si>
    <t>87082996 - Bolsas infláveis para "airbag"</t>
  </si>
  <si>
    <t>87082999 - Outros</t>
  </si>
  <si>
    <t>87083011 - Dos veículos das subposições 8701.10, 8701.30, 8701.90 ou 8704.10</t>
  </si>
  <si>
    <t>87083019 - Outras</t>
  </si>
  <si>
    <t>87083090 - Outros</t>
  </si>
  <si>
    <t>87083110 - Dos veículos das subposições 8701.10, 8701.30, 8701.90 ou 8704.10</t>
  </si>
  <si>
    <t>87083190 - Outros</t>
  </si>
  <si>
    <t>87083900 - Outros</t>
  </si>
  <si>
    <t>87084011 - Servo-assistidas, próprias para torques de entrada superiores ou iguais a
750nm</t>
  </si>
  <si>
    <t>87084019 - Outras</t>
  </si>
  <si>
    <t>87084080 - Outras caixas de marchas</t>
  </si>
  <si>
    <t>87084090 - Outras</t>
  </si>
  <si>
    <t>87085011 - Eixos com diferencial com capacidade de suportar cargas superiores ou
iguais a 14.000kg, redutores planetários nos extremos e dispositivo de
freio incorporado, do tipo dos utilizados em veículos da subposição
8704.10</t>
  </si>
  <si>
    <t>87085012 - Eixos não motores</t>
  </si>
  <si>
    <t>87085019 - Outros</t>
  </si>
  <si>
    <t>87085080 - Outros</t>
  </si>
  <si>
    <t>87085090 - Outros</t>
  </si>
  <si>
    <t>87085091 - De eixos não motores, dos veículos das subposições 8701.10, 8701.30,
8701.90 ou 8704.10</t>
  </si>
  <si>
    <t>87085099 - Outras</t>
  </si>
  <si>
    <t>87086010 - Dos veículos das subposições 8701.10, 8701.30, 8701.90 ou 8704.10</t>
  </si>
  <si>
    <t>87086090 - Outros</t>
  </si>
  <si>
    <t>87087010 - De eixos propulsores dos veículos das subposições 8701.10, 8701.30,
8701.90 ou 8704.10</t>
  </si>
  <si>
    <t>87087090 - Outros</t>
  </si>
  <si>
    <t>87088000 - Sistemas de suspensão e suas partes (incluídos os amortecedores de
suspensão)</t>
  </si>
  <si>
    <t>87089100 - Radiadores e suas partes</t>
  </si>
  <si>
    <t>87089200 - Silenciosos e tubos de escape; suas partes</t>
  </si>
  <si>
    <t>87089300 - Embreagens e suas partes</t>
  </si>
  <si>
    <t>87089411 - Volantes</t>
  </si>
  <si>
    <t>87089412 - Barras</t>
  </si>
  <si>
    <t>87089413 - Caixas</t>
  </si>
  <si>
    <t>87089481 - Volantes</t>
  </si>
  <si>
    <t>87089482 - Barras</t>
  </si>
  <si>
    <t>87089483 - Caixas</t>
  </si>
  <si>
    <t>87089490 - Partes</t>
  </si>
  <si>
    <t>87089491 - Volantes</t>
  </si>
  <si>
    <t>87089492 - Barras</t>
  </si>
  <si>
    <t>87089493 - Caixas</t>
  </si>
  <si>
    <t>87089510 - Bolsas infláveis de segurança com sistema de insuflação (“airbags")</t>
  </si>
  <si>
    <t>87089521 - Bolsas infláveis para "airbags"</t>
  </si>
  <si>
    <t>87089522 - Sistema de insuflação</t>
  </si>
  <si>
    <t>87089529 - Outras</t>
  </si>
  <si>
    <t>87089910 - Dispositivos para comando de acelerador, freio, embreagem, direção ou
caixa de marchas mesmo os de adaptação dos preexistentes, do tipo dos</t>
  </si>
  <si>
    <t>87089990 - Outros</t>
  </si>
  <si>
    <t>87091100 - Elétricos</t>
  </si>
  <si>
    <t>87091900 - Outros</t>
  </si>
  <si>
    <t>87099000 - Partes</t>
  </si>
  <si>
    <t>87100000 - Veículos e carros blindados de combate, armados ou não, e suas partes.</t>
  </si>
  <si>
    <t>87120010 - Bicicletas e outros ciclos (incluídos os triciclos), sem motor. Bicicletas.</t>
  </si>
  <si>
    <t>87131000 - Cadeiras de rodas e outros veículos para inválidos, mesmo com motor ou
outro mecanismo de propulsão. Sem mecanismo de propulsão.</t>
  </si>
  <si>
    <t>87139000 - Cadeiras de rodas e outros veículos para inválidos, mesmo com motor ou
outro mecanismo de propulsão. Outros.</t>
  </si>
  <si>
    <t>87140000 - Partes e acessórios dos veículos das posições 87.11 a 87.13.</t>
  </si>
  <si>
    <t>87141000 - Partes e acessórios de motocicletas (incluindo os ciclomotores)</t>
  </si>
  <si>
    <t>87141900 - Outros</t>
  </si>
  <si>
    <t>87149490 - Outros</t>
  </si>
  <si>
    <t>87149990 - Outros</t>
  </si>
  <si>
    <t>87162000 - Reboques e semi-reboques, autocarregáveis ou autodescarregáveis, para
usos agrícolas</t>
  </si>
  <si>
    <t>87163100 - Cisternas</t>
  </si>
  <si>
    <t>87163900 - Outros</t>
  </si>
  <si>
    <t>87169090 - Reboques e semi-reboques, para quaisquer veículos; outros veículos não
autopropulsados; suas partes. Partes. Outras.</t>
  </si>
  <si>
    <t>88020000 - Outros veículos aéreos (por exemplo, helicópteros, aviões); veículos
espaciais (incluídos os satélites) e seus veículos de lançamento, e
veículos suborbitais.</t>
  </si>
  <si>
    <t>88030000 - Partes dos veículos e aparelhos das posições 88.01 ou 88.02.</t>
  </si>
  <si>
    <t>88040000 - Pára-quedas (incluídos os pára-quedas dirigíveis e os parapentes) e os
pára-quedas giratórios ("rotochutes"); suas partes e acessórios.</t>
  </si>
  <si>
    <t>89000000 - Embarcações e estruturas flutuantes</t>
  </si>
  <si>
    <t>90013000 - Fibras ópticas e feixes de fibras ópticas; cabos de fibras ópticas, exceto
os da posição 85.44; matérias polarizantes em folhas ou em placas; lentes
(incluídas as de contato), prismas, espelhos e outros elementos de óptica,
de qualquer matéria, não montad</t>
  </si>
  <si>
    <t>90014000 - Fibras ópticas e feixes de fibras ópticas; cabos de fibras ópticas, exceto
os da posição 85.44; matérias polarizantes em folhas ou em placas; lentes
(incluídas as de contato), prismas, espelhos e outros elementos de óptica,
de qualquer matéria, não montad</t>
  </si>
  <si>
    <t>90015000 - Fibras ópticas e feixes de fibras ópticas; cabos de fibras ópticas, exceto
os da posição 85.44; matérias polarizantes em folhas ou em placas; lentes
(incluídas as de contato), prismas, espelhos e outros elementos de óptica,
de qualquer matéria, não montad</t>
  </si>
  <si>
    <t>90029000 - Lentes, prismas, espelhos e outros elementos de óptica, de qualquer
matéria, montados, para instrumentos ou aparelhos, exceto os de vidro
não trabalhado opticamente. Outros.</t>
  </si>
  <si>
    <t>90031100 - Armações para óculos ou artigos semelhantes, e suas partes. Armações:
de plásticos.</t>
  </si>
  <si>
    <t>90031910 - Armações para óculos ou artigos semelhantes, e suas partes. Armações:
de metais comuns, mesmo folheados ou chapeados de metais preciosos
(plaquê).</t>
  </si>
  <si>
    <t>90031990 - Armações para óculos ou artigos semelhantes, e suas partes. Armações:
outras.</t>
  </si>
  <si>
    <t>90039010 - Armações para óculos ou artigos semelhantes, e suas partes. Partes.
Charneiras.</t>
  </si>
  <si>
    <t>90039090 - Armações para óculos ou artigos semelhantes, e suas partes. Partes.
Outras.</t>
  </si>
  <si>
    <t>90041000 - Óculos para correção, proteção ou outros fins, e artigos semelhantes.
Óculos de sol.</t>
  </si>
  <si>
    <t>90049010 - Óculos para correção, proteção ou outros fins, e artigos semelhantes.
Óculos para correção.</t>
  </si>
  <si>
    <t>90049020 - Óculos para correção, proteção ou outros fins, e artigos semelhantes.
Óculos de segurança.</t>
  </si>
  <si>
    <t>90049090 - Óculos para correção, proteção ou outros fins, e artigos semelhantes.
Outros.</t>
  </si>
  <si>
    <t>90058000 - Outros instrumentos</t>
  </si>
  <si>
    <t>90059090 - Outros</t>
  </si>
  <si>
    <t>90061010 - Fotocompositoras a laser para preparação de clichês</t>
  </si>
  <si>
    <t>90061090 - Outras</t>
  </si>
  <si>
    <t>90072090 - Outros</t>
  </si>
  <si>
    <t>90072091 - Para filmes de largura superior ou igual a 35mm mas inferior ou igual a
70mm</t>
  </si>
  <si>
    <t>90072099 - Outros</t>
  </si>
  <si>
    <t>90079200 - De projetores</t>
  </si>
  <si>
    <t>90085000 - Projetores e aparelhos de ampliação ou de redução</t>
  </si>
  <si>
    <t>90089000 - Partes e acessórios</t>
  </si>
  <si>
    <t>90101010 - Cubas e cubetas, de operação automática e programáveis</t>
  </si>
  <si>
    <t>90101020 - Ampliadoras-copiadoras automáticas para papel fotográfico, com
capacidade superior a 1.000 cópias por hora</t>
  </si>
  <si>
    <t>90101090 - Outros</t>
  </si>
  <si>
    <t>90109010 - De aparelhos ou material da subposição 9010.10 ou do item 9010.50.10</t>
  </si>
  <si>
    <t>90111000 - Microscópios estereoscópicos</t>
  </si>
  <si>
    <t>90112010 - Microscópios ópticos, incluídos os microscópios para fotomicrografia,
cinefotomicrografia ou microprojeção. Para fotomicrografia.</t>
  </si>
  <si>
    <t>90118010 - Binoculares de platina móvel</t>
  </si>
  <si>
    <t>90118090 - Outros</t>
  </si>
  <si>
    <t>90119010 - Microscópios ópticos, incluídos os microscópios para fotomicrografia,
cinefotomicrografia ou microprojeção. Partes e acessórios. Dos artigos da</t>
  </si>
  <si>
    <t>90119090 - Outros</t>
  </si>
  <si>
    <t>90131090 - Outros</t>
  </si>
  <si>
    <t>90150000 - Ver descrição na tabela de incidência do ipi (tipi), conforme decreto nº
8.950/2016 e atualizações posteriores</t>
  </si>
  <si>
    <t>90151000 - Telêmetros</t>
  </si>
  <si>
    <t>90152010 - Com sistema de leitura por meio de prisma ou micrômetro óptico e
precisão de leitura de 1 segundo</t>
  </si>
  <si>
    <t>90152090 - Outros</t>
  </si>
  <si>
    <t>90153000 - Níveis</t>
  </si>
  <si>
    <t>90154000 - Instrumentos e aparelhos de fotogrametria</t>
  </si>
  <si>
    <t>90158010 - Molinetes hidrométricos</t>
  </si>
  <si>
    <t>90158090 - Outros</t>
  </si>
  <si>
    <t>90159010 - De instrumentos ou aparelhos da subposição 9015.40</t>
  </si>
  <si>
    <t>90159090 - Outros</t>
  </si>
  <si>
    <t>90160000 - Ver descrição na tabela de incidência do ipi (tipi), conforme decreto nº
8.950/2016 e atualizações posteriores</t>
  </si>
  <si>
    <t>90160010 - Sensíveis a pesos não superiores a 0,2mg</t>
  </si>
  <si>
    <t>90160090 - Outras</t>
  </si>
  <si>
    <t>90170000 - Ver descrição na tabela de incidência do ipi (tipi), conforme decreto nº
8.950/2016 e atualizações posteriores</t>
  </si>
  <si>
    <t>90171010 - Automáticas</t>
  </si>
  <si>
    <t>90171090 - Outras</t>
  </si>
  <si>
    <t>90173010 - Micrômetros</t>
  </si>
  <si>
    <t>90173020 - Paquímetros</t>
  </si>
  <si>
    <t>90173090 - Outros</t>
  </si>
  <si>
    <t>90179010 - De mesas ou máquinas de desenhar, automáticas</t>
  </si>
  <si>
    <t>90179090 - Outros</t>
  </si>
  <si>
    <t>90181100 - Instrumentos e aparelhos para medicina, cirurgia, odontologia e
veterinária, incluídos os aparelhos para cintilografia e outros aparelhos
eletromédicos, bem como os aparelhos para testes visuais. Aparelhos de
eletrodiagnóstico (incluídos os aparelhos de e</t>
  </si>
  <si>
    <t>90181210 - Instrumentos e aparelhos para medicina, cirurgia, odontologia e
veterinária, incluídos os aparelhos para cintilografia e outros aparelhos
eletromédicos, bem como os aparelhos para testes visuais. Aparelhos de
diagnóstico por varredura ultra-sônica ("scann</t>
  </si>
  <si>
    <t>90181290 - Instrumentos e aparelhos para medicina, cirurgia, odontologia e
veterinária, incluídos os aparelhos para cintilografia e outros aparelhos
eletromédicos, bem como os aparelhos para testes visuais. Aparelhos de
diagnóstico por varredura ultra-sônica ("scann</t>
  </si>
  <si>
    <t>90181300 - Instrumentos e aparelhos para medicina, cirurgia, odontologia e
veterinária, incluídos os aparelhos para cintilografia e outros aparelhos
eletromédicos, bem como os aparelhos para testes visuais. Aparelhos de
eletrodiagnóstico (incluídos os aparelhos de e</t>
  </si>
  <si>
    <t>90181410 - Instrumentos e aparelhos para medicina, cirurgia, odontologia e
veterinária, incluídos os aparelhos para cintilografia e outros aparelhos
eletromédicos, bem como os aparelhos para testes visuais. Aparelhos de
cintilografia “scanner” de tomografia por emis</t>
  </si>
  <si>
    <t>90181490 - Instrumentos e aparelhos para medicina, cirurgia, odontologia e
veterinária, incluídos os aparelhos para cintilografia e outros aparelhos
eletromédicos, bem como os aparelhos para testes visuais. Aparelhos de
cintilografia. Outros.</t>
  </si>
  <si>
    <t>90181910 - Instrumentos e aparelhos para medicina, cirurgia, odontologia e
veterinária, incluídos os aparelhos para cintilografia e outros aparelhos
eletromédicos, bem como os aparelhos para testes visuais. Aparelhos de
eletrodiagnóstico (incluídos os aparelhos de e</t>
  </si>
  <si>
    <t>90181920 - Instrumentos e aparelhos para medicina, cirurgia, odontologia e
veterinária, incluídos os aparelhos para cintilografia e outros aparelhos
eletromédicos, bem como os aparelhos para testes visuais. Aparelhos de
eletrodiagnóstico (incluídos os aparelhos de e</t>
  </si>
  <si>
    <t>90181980 - Instrumentos e aparelhos para medicina, cirurgia, odontologia e
veterinária, incluídos os aparelhos para cintilografia e outros aparelhos
eletromédicos, bem como os aparelhos para testes visuais. Aparelhos de
eletrodiagnóstico (incluídos os aparelhos de e</t>
  </si>
  <si>
    <t>90181990 - Instrumentos e aparelhos para medicina, cirurgia, odontologia e
veterinária, incluídos os aparelhos para cintilografia e outros aparelhos
eletromédicos, bem como os aparelhos para testes visuais. Aparelhos de
eletrodiagnóstico (incluídos os aparelhos de e</t>
  </si>
  <si>
    <t>90182010 - Instrumentos e aparelhos para medicina, cirurgia, odontologia e
veterinária, incluídos os aparelhos para cintilografia e outros aparelhos
eletromédicos, bem como os aparelhos para testes visuais. Aparelhos de
raios ultravioleta ou infravermelhos. Para cir</t>
  </si>
  <si>
    <t>90182020 - Instrumentos e aparelhos para medicina, cirurgia, odontologia e
veterinária, incluídos os aparelhos para cintilografia e outros aparelhos
eletromédicos, bem como os aparelhos para testes visuais. Aparelhos de
raios ultravioleta ou infravermelhos. Outros,</t>
  </si>
  <si>
    <t>90182090 - Instrumentos e aparelhos para medicina, cirurgia, odontologia e
veterinária, incluídos os aparelhos para cintilografia e outros aparelhos
eletromédicos, bem como os aparelhos para testes visuais. Aparelhos de
raios ultravioleta ou infravermelhos. Outros.</t>
  </si>
  <si>
    <t>90183111 - Instrumentos e aparelhos para medicina, cirurgia, odontologia e
veterinária, incluídos os aparelhos para cintilografia e outros aparelhos
eletromédicos, bem como os aparelhos para testes visuais. De plástico.
De capacidade inferior ou igual a 2cm3.</t>
  </si>
  <si>
    <t>90183119 - Instrumentos e aparelhos para medicina, cirurgia, odontologia e
veterinária, incluídos os aparelhos para cintilografia e outros aparelhos
eletromédicos, bem como os aparelhos para testes visuais. De plástico.
Outras.</t>
  </si>
  <si>
    <t>90183190 - Instrumentos e aparelhos para medicina, cirurgia, odontologia e
veterinária, incluídos os aparelhos para cintilografia e outros aparelhos
eletromédicos, bem como os aparelhos para testes visuais. Seringas,
mesmo com agulhas. Outras.</t>
  </si>
  <si>
    <t>90183211 - Instrumentos e aparelhos para medicina, cirurgia, odontologia e
veterinária, incluídos os aparelhos para cintilografia e outros aparelhos
eletromédicos, bem como os aparelhos para testes visuais. Tubulares de
metal. Gengivais.</t>
  </si>
  <si>
    <t>90183212 - Instrumentos e aparelhos para medicina, cirurgia, odontologia e
veterinária, incluídos os aparelhos para cintilografia e outros aparelhos
eletromédicos, bem como os aparelhos para testes visuais. Tubulares de
metal. De aço cromo-níquel, bisel trifacetado</t>
  </si>
  <si>
    <t>90183219 - Instrumentos e aparelhos para medicina, cirurgia, odontologia e
veterinária, incluídos os aparelhos para cintilografia e outros aparelhos
eletromédicos, bem como os aparelhos para testes visuais. Tubulares de
metal. Outras.</t>
  </si>
  <si>
    <t>90183220 - Instrumentos e aparelhos para medicina, cirurgia, odontologia e
veterinária, incluídos os aparelhos para cintilografia e outros aparelhos
eletromédicos, bem como os aparelhos para testes visuais. Agulhas
tubulares de metal e agulhas para suturas. Para sut</t>
  </si>
  <si>
    <t>90183910 - Instrumentos e aparelhos para medicina, cirurgia, odontologia e
veterinária, incluídos os aparelhos para cintilografia e outros aparelhos
eletromédicos, bem como os aparelhos para testes visuais. Seringas,
agulhas, cateteres, cânulas e instrumentos semelh</t>
  </si>
  <si>
    <t>90183921 - Instrumentos e aparelhos para medicina, cirurgia, odontologia e</t>
  </si>
  <si>
    <t>90183922 - Instrumentos e aparelhos para medicina, cirurgia, odontologia e
veterinária, incluídos os aparelhos para cintilografia e outros aparelhos
eletromédicos, bem como os aparelhos para testes visuais. Sondas,
cateteres e cânulas. Cateteres de poli(cloreto de v</t>
  </si>
  <si>
    <t>90183923 - Instrumentos e aparelhos para medicina, cirurgia, odontologia e
veterinária, incluídos os aparelhos para cintilografia e outros aparelhos
eletromédicos, bem como os aparelhos para testes visuais. Sondas,
cateteres e cânulas. Cateteres de poli(cloreto de v</t>
  </si>
  <si>
    <t>90183924 - Instrumentos e aparelhos para medicina, cirurgia, odontologia e
veterinária, incluídos os aparelhos para cintilografia e outros aparelhos
eletromédicos, bem como os aparelhos para testes visuais. Sondas,
cateteres e cânulas. Cateteres intravenosos perifér</t>
  </si>
  <si>
    <t>90183929 - Instrumentos e aparelhos para medicina, cirurgia, odontologia e
veterinária, incluídos os aparelhos para cintilografia e outros aparelhos
eletromédicos, bem como os aparelhos para testes visuais. Sondas,
cateteres e cânulas. Outros.</t>
  </si>
  <si>
    <t>90183930 - Instrumentos e aparelhos para medicina, cirurgia, odontologia e
veterinária, incluídos os aparelhos para cintilografia e outros aparelhos
eletromédicos, bem como os aparelhos para testes visuais. Seringas,
agulhas, cateteres, cânulas e instrumentos semelh</t>
  </si>
  <si>
    <t>90183991 - Instrumentos e aparelhos para medicina, cirurgia, odontologia e
veterinária, incluídos os aparelhos para cintilografia e outros aparelhos
eletromédicos, bem como os aparelhos para testes visuais. Seringas,
agulhas, cateteres, cânulas e instrumentos semelh</t>
  </si>
  <si>
    <t>90183999 - Instrumentos e aparelhos para medicina, cirurgia, odontologia e
veterinária, incluídos os aparelhos para cintilografia e outros aparelhos
eletromédicos, bem como os aparelhos para testes visuais. Seringas,
agulhas, cateteres, cânulas e instrumentos semelh</t>
  </si>
  <si>
    <t>90184100 - Instrumentos e aparelhos para medicina, cirurgia, odontologia e
veterinária, incluídos os aparelhos para cintilografia e outros aparelhos
eletromédicos, bem como os aparelhos para testes visuais. Aparelhos
dentários de brocar, mesmo combinados numa base c</t>
  </si>
  <si>
    <t>90184911 - Instrumentos e aparelhos para medicina, cirurgia, odontologia e
veterinária, incluídos os aparelhos para cintilografia e outros aparelhos
eletromédicos, bem como os aparelhos para testes visuais. Brocas. De
carboneto de tungstênio (volfrâmio).</t>
  </si>
  <si>
    <t>90184912 - Instrumentos e aparelhos para medicina, cirurgia, odontologia e
veterinária, incluídos os aparelhos para cintilografia e outros aparelhos
eletromédicos, bem como os aparelhos para testes visuais. Brocas. De
aço-vanádio.</t>
  </si>
  <si>
    <t>90184919 - Instrumentos e aparelhos para medicina, cirurgia, odontologia e
veterinária, incluídos os aparelhos para cintilografia e outros aparelhos
eletromédicos, bem como os aparelhos para testes visuais. Brocas.
Outras.</t>
  </si>
  <si>
    <t>90184920 - Instrumentos e aparelhos para medicina, cirurgia, odontologia e
veterinária, incluídos os aparelhos para cintilografia e outros aparelhos
eletromédicos, bem como os aparelhos para testes visuais. Limas.</t>
  </si>
  <si>
    <t>90184940 - Instrumentos e aparelhos para medicina, cirurgia, odontologia e
veterinária, incluídos os aparelhos para cintilografia e outros aparelhos
eletromédicos, bem como os aparelhos para testes visuais. Para
tratamento bucal, que operem por projeção cinética de</t>
  </si>
  <si>
    <t>90184991 - Instrumentos e aparelhos para medicina, cirurgia, odontologia e
veterinária, incluídos os aparelhos para cintilografia e outros aparelhos
eletromédicos, bem como os aparelhos para testes visuais. Para desenho e
construção de peças cerâmicas para restauraç</t>
  </si>
  <si>
    <t>90184999 - Instrumentos e aparelhos para medicina, cirurgia, odontologia e
veterinária, incluídos os aparelhos para cintilografia e outros aparelhos
eletromédicos, bem como os aparelhos para testes visuais. Outros.</t>
  </si>
  <si>
    <t>90185010 - Instrumentos e aparelhos para medicina, cirurgia, odontologia e
veterinária, incluídos os aparelhos para cintilografia e outros aparelhos
eletromédicos, bem como os aparelhos para testes visuais. Microscópios
binoculares, dos tipos utilizados em cirurgia</t>
  </si>
  <si>
    <t>90185090 - Instrumentos e aparelhos para medicina, cirurgia, odontologia e
veterinária, incluídos os aparelhos para cintilografia e outros aparelhos
eletromédicos, bem como os aparelhos para testes visuais. Outros.</t>
  </si>
  <si>
    <t>90189010 - Instrumentos e aparelhos para medicina, cirurgia, odontologia e
veterinária, incluídos os aparelhos para cintilografia e outros aparelhos
eletromédicos, bem como os aparelhos para testes visuais. Para
transfusão de sangue ou infusão intravenosa.</t>
  </si>
  <si>
    <t>90189021 - Instrumentos e aparelhos para medicina, cirurgia, odontologia e</t>
  </si>
  <si>
    <t>90189029 - Instrumentos e aparelhos para medicina, cirurgia, odontologia e
veterinária, incluídos os aparelhos para cintilografia e outros aparelhos
eletromédicos, bem como os aparelhos para testes visuais. Bisturis.
Outros.</t>
  </si>
  <si>
    <t>90189031 - Instrumentos e aparelhos para medicina, cirurgia, odontologia e
veterinária, incluídos os aparelhos para cintilografia e outros aparelhos
eletromédicos, bem como os aparelhos para testes visuais. Litótomos e
litotritores. Litotritores por onda de choque.</t>
  </si>
  <si>
    <t>90189039 - Instrumentos e aparelhos para medicina, cirurgia, odontologia e
veterinária, incluídos os aparelhos para cintilografia e outros aparelhos
eletromédicos, bem como os aparelhos para testes visuais. Litótomos e
litotritores. Outros.</t>
  </si>
  <si>
    <t>90189040 - Instrumentos e aparelhos para medicina, cirurgia, odontologia e
veterinária, incluídos os aparelhos para cintilografia e outros aparelhos
eletromédicos, bem como os aparelhos para testes visuais. Rins
artificiais.</t>
  </si>
  <si>
    <t>90189050 - Instrumentos e aparelhos para medicina, cirurgia, odontologia e
veterinária, incluídos os aparelhos para cintilografia e outros aparelhos
eletromédicos, bem como os aparelhos para testes visuais. Aparelhos de
diatermia.</t>
  </si>
  <si>
    <t>90189091 - Incubadoras para bebês</t>
  </si>
  <si>
    <t>90189092 - Instrumentos e aparelhos para medicina, cirurgia, odontologia e
veterinária, incluídos os aparelhos para cintilografia e outros aparelhos
eletromédicos, bem como os aparelhos para testes visuais. Aparelhos
para medida da pressão arterial.</t>
  </si>
  <si>
    <t>90189093 - Instrumentos e aparelhos para medicina, cirurgia, odontologia e
veterinária, incluídos os aparelhos para cintilografia e outros aparelhos
eletromédicos, bem como os aparelhos para testes visuais. Aparelhos
para terapia intra-uretral por microondas (tumt),</t>
  </si>
  <si>
    <t>90189094 - Instrumentos e aparelhos para medicina, cirurgia, odontologia e
veterinária, incluídos os aparelhos para cintilografia e outros aparelhos
eletromédicos, bem como os aparelhos para testes visuais. Endoscópios.</t>
  </si>
  <si>
    <t>90189095 - Instrumentos e aparelhos para medicina, cirurgia, odontologia e
veterinária, incluídos os aparelhos para cintilografia e outros aparelhos
eletromédicos, bem como os aparelhos para testes visuais. Grampos e
clipes, seus aplicadores e extratores.</t>
  </si>
  <si>
    <t>90189096 - Instrumentos e aparelhos para medicina, cirurgia, odontologia e
veterinária, incluídos os aparelhos para cintilografia e outros aparelhos
eletromédicos, bem como os aparelhos para testes visuais.
Desfibriladores externos que operem unicamente em modo auto</t>
  </si>
  <si>
    <t>90189099 - Instrumentos e aparelhos para medicina, cirurgia, odontologia e
veterinária, incluídos os aparelhos para cintilografia e outros aparelhos
eletromédicos, bem como os aparelhos para testes visuais. Outros.</t>
  </si>
  <si>
    <t>90191000 - Aparelhos de mecanoterapia; aparelhos de massagem; aparelhos de
psicotécnica</t>
  </si>
  <si>
    <t>90192010 - Aparelhos de mecanoterapia; aparelhos de massagem; aparelhos de
psicotécnica; aparelhos de ozonoterapia, de oxigenoterapia, de
aerossolterapia, aparelhos respiratórios de reanimação e outros aparelhos
de terapia respiratória. De oxigenoterapia.</t>
  </si>
  <si>
    <t>90192020 - Aparelhos de mecanoterapia; aparelhos de massagem; aparelhos de
psicotécnica; aparelhos de ozonoterapia, de oxigenoterapia, de
aerossolterapia, aparelhos respiratórios de reanimação e outros aparelhos
de terapia respiratória. De aerossolterapia.</t>
  </si>
  <si>
    <t>90192030 - Aparelhos de mecanoterapia; aparelhos de massagem; aparelhos de
psicotécnica; aparelhos de ozonoterapia, de oxigenoterapia, de
aerossolterapia, aparelhos respiratórios de reanimação e outros aparelhos
de terapia respiratória. Respiratórios de reanimação.</t>
  </si>
  <si>
    <t>90192040 - Aparelhos de mecanoterapia; aparelhos de massagem; aparelhos de
psicotécnica; aparelhos de ozonoterapia, de oxigenoterapia, de
aerossolterapia, aparelhos respiratórios de reanimação e outros aparelhos
de terapia respiratória. Respiradores automáticos (pul</t>
  </si>
  <si>
    <t>90192090 - Aparelhos de mecanoterapia; aparelhos de massagem; aparelhos de
psicotécnica; aparelhos de ozonoterapia, de oxigenoterapia, de
aerossolterapia, aparelhos respiratórios de reanimação e outros aparelhos
de terapia respiratória. Outros.</t>
  </si>
  <si>
    <t>90200010 - Outros aparelhos respiratórios e máscaras contra gases, exceto as
máscaras de proteção desprovidas de mecanismo e de elemento filtrante
amovível. Máscaras contra gases.</t>
  </si>
  <si>
    <t>90200090 - Outros aparelhos respiratórios e máscaras contra gases, exceto as
máscaras de proteção desprovidas de mecanismo e de elemento filtrante
amovível. Outros.</t>
  </si>
  <si>
    <t>90211010 - Artigos e aparelhos ortopédicos, incluídas as cintas e fundas médico-cirúrgicas e as muletas; talas, goteiras e outros artigos e aparelhos para
fraturas; artigos e aparelhos de prótese; aparelhos para facilitar a audição
dos surdos e outros aparelhos para</t>
  </si>
  <si>
    <t>90211020 - Artigos e aparelhos ortopédicos, incluídas as cintas e fundas médico-cirúrgicas e as muletas; talas, goteiras e outros artigos e aparelhos para
fraturas; artigos e aparelhos de prótese; aparelhos para facilitar a audição
dos surdos e outros aparelhos para</t>
  </si>
  <si>
    <t>90211091 - Artigos e aparelhos ortopédicos, incluídas as cintas e fundas médico-cirúrgicas e as muletas; talas, goteiras e outros artigos e aparelhos para
fraturas; artigos e aparelhos de prótese; aparelhos para facilitar a audição
dos surdos e outros aparelhos para</t>
  </si>
  <si>
    <t>90211099 - Artigos e aparelhos ortopédicos, incluídas as cintas e fundas médico-cirúrgicas e as muletas; talas, goteiras e outros artigos e aparelhos para
fraturas; artigos e aparelhos de prótese; aparelhos para facilitar a audição
dos surdos e outros aparelhos para</t>
  </si>
  <si>
    <t>90212110 - Artigos e aparelhos ortopédicos, incluídas as cintas e fundas médico-cirúrgicas e as muletas; talas, goteiras e outros artigos e aparelhos para
fraturas; artigos e aparelhos de prótese; aparelhos para facilitar a audição
dos surdos e outros aparelhos para</t>
  </si>
  <si>
    <t>90212190 - Artigos e aparelhos ortopédicos, incluídas as cintas e fundas médico-cirúrgicas e as muletas; talas, goteiras e outros artigos e aparelhos para
fraturas; artigos e aparelhos de prótese; aparelhos para facilitar a audição
dos surdos e outros aparelhos para</t>
  </si>
  <si>
    <t>90212900 - Artigos e aparelhos ortopédicos, incluídas as cintas e fundas médico-cirúrgicas e as muletas; talas, goteiras e outros artigos e aparelhos para
fraturas; artigos e aparelhos de prótese; aparelhos para facilitar a audição
dos surdos e outros aparelhos para</t>
  </si>
  <si>
    <t>90213110 - Artigos e aparelhos ortopédicos, incluídas as cintas e fundas médico-cirúrgicas e as muletas; talas, goteiras e outros artigos e aparelhos para
fraturas; artigos e aparelhos de prótese; aparelhos para facilitar a audição
dos surdos e outros aparelhos para</t>
  </si>
  <si>
    <t>90213120 - Artigos e aparelhos ortopédicos, incluídas as cintas e fundas médico-cirúrgicas e as muletas; talas, goteiras e outros artigos e aparelhos para
fraturas; artigos e aparelhos de prótese; aparelhos para facilitar a audição
dos surdos e outros aparelhos para</t>
  </si>
  <si>
    <t>90213190 - Artigos e aparelhos ortopédicos, incluídas as cintas e fundas médico-cirúrgicas e as muletas; talas, goteiras e outros artigos e aparelhos para
fraturas; artigos e aparelhos de prótese; aparelhos para facilitar a audição
dos surdos e outros aparelhos para</t>
  </si>
  <si>
    <t>90213911 - Artigos e aparelhos ortopédicos, incluídas as cintas e fundas médico-cirúrgicas e as muletas; talas, goteiras e outros artigos e aparelhos para
fraturas; artigos e aparelhos de prótese; aparelhos para facilitar a audição
dos surdos e outros aparelhos para</t>
  </si>
  <si>
    <t>90213919 - Artigos e aparelhos ortopédicos, incluídas as cintas e fundas médico-cirúrgicas e as muletas; talas, goteiras e outros artigos e aparelhos para
fraturas; artigos e aparelhos de prótese; aparelhos para facilitar a audição
dos surdos e outros aparelhos para</t>
  </si>
  <si>
    <t>90213920 - Artigos e aparelhos ortopédicos, incluídas as cintas e fundas médico-cirúrgicas e as muletas; talas, goteiras e outros artigos e aparelhos para
fraturas; artigos e aparelhos de prótese; aparelhos para facilitar a audição
dos surdos e outros aparelhos para</t>
  </si>
  <si>
    <t>90213930 - Artigos e aparelhos ortopédicos, incluídas as cintas e fundas médico-cirúrgicas e as muletas; talas, goteiras e outros artigos e aparelhos para
fraturas; artigos e aparelhos de prótese; aparelhos para facilitar a audição
dos surdos e outros aparelhos para</t>
  </si>
  <si>
    <t>90213940 - Artigos e aparelhos ortopédicos, incluídas as cintas e fundas médico-cirúrgicas e as muletas; talas, goteiras e outros artigos e aparelhos para
fraturas; artigos e aparelhos de prótese; aparelhos para facilitar a audição
dos surdos e outros aparelhos para</t>
  </si>
  <si>
    <t>90213980 - Artigos e aparelhos ortopédicos, incluídas as cintas e fundas médico-cirúrgicas e as muletas; talas, goteiras e outros artigos e aparelhos para
fraturas; artigos e aparelhos de prótese; aparelhos para facilitar a audição
dos surdos e outros aparelhos para</t>
  </si>
  <si>
    <t>90213991 - Artigos e aparelhos ortopédicos, incluídas as cintas e fundas médico-cirúrgicas e as muletas; talas, goteiras e outros artigos e aparelhos para
fraturas; artigos e aparelhos de prótese; aparelhos para facilitar a audição
dos surdos e outros aparelhos para</t>
  </si>
  <si>
    <t>90213999 - Artigos e aparelhos ortopédicos, incluídas as cintas e fundas médico-cirúrgicas e as muletas; talas, goteiras e outros artigos e aparelhos para</t>
  </si>
  <si>
    <t>90214000 - Artigos e aparelhos ortopédicos, incluídas as cintas e fundas médico-cirúrgicas e as muletas; talas, goteiras e outros artigos e aparelhos para
fraturas; artigos e aparelhos de prótese; aparelhos para facilitar a audição
dos surdos e outros aparelhos para</t>
  </si>
  <si>
    <t>90215000 - Artigos e aparelhos ortopédicos, incluídas as cintas e fundas médico-cirúrgicas e as muletas; talas, goteiras e outros artigos e aparelhos para
fraturas; artigos e aparelhos de prótese; aparelhos para facilitar a audição
dos surdos e outros aparelhos para</t>
  </si>
  <si>
    <t>90219011 - Artigos e aparelhos ortopédicos, incluídas as cintas e fundas médico-cirúrgicas e as muletas; talas, goteiras e outros artigos e aparelhos para
fraturas; artigos e aparelhos de prótese; aparelhos para facilitar a audição
dos surdos e outros aparelhos para</t>
  </si>
  <si>
    <t>90219019 - Artigos e aparelhos ortopédicos, incluídas as cintas e fundas médico-cirúrgicas e as muletas; talas, goteiras e outros artigos e aparelhos para
fraturas; artigos e aparelhos de prótese; aparelhos para facilitar a audição
dos surdos e outros aparelhos para</t>
  </si>
  <si>
    <t>90219081 - Artigos e aparelhos ortopédicos, incluídas as cintas e fundas médico-cirúrgicas e as muletas; talas, goteiras e outros artigos e aparelhos para
fraturas; artigos e aparelhos de prótese; aparelhos para facilitar a audição
dos surdos e outros aparelhos para</t>
  </si>
  <si>
    <t>90219082 - Artigos e aparelhos ortopédicos, incluídas as cintas e fundas médico-cirúrgicas e as muletas; talas, goteiras e outros artigos e aparelhos para
fraturas; artigos e aparelhos de prótese; aparelhos para facilitar a audição
dos surdos e outros aparelhos para</t>
  </si>
  <si>
    <t>90219089 - Artigos e aparelhos ortopédicos, incluídas as cintas e fundas médico-cirúrgicas e as muletas; talas, goteiras e outros artigos e aparelhos para
fraturas; artigos e aparelhos de prótese; aparelhos para facilitar a audição
dos surdos e outros aparelhos para</t>
  </si>
  <si>
    <t>90219091 - Artigos e aparelhos ortopédicos, incluídas as cintas e fundas médico-cirúrgicas e as muletas; talas, goteiras e outros artigos e aparelhos para
fraturas; artigos e aparelhos de prótese; aparelhos para facilitar a audição
dos surdos e outros aparelhos para</t>
  </si>
  <si>
    <t>90219092 - Artigos e aparelhos ortopédicos, incluídas as cintas e fundas médico-cirúrgicas e as muletas; talas, goteiras e outros artigos e aparelhos para
fraturas; artigos e aparelhos de prótese; aparelhos para facilitar a audição
dos surdos e outros aparelhos para</t>
  </si>
  <si>
    <t>90219099 - Artigos e aparelhos ortopédicos, incluídas as cintas e fundas médico-cirúrgicas e as muletas; talas, goteiras e outros artigos e aparelhos para
fraturas; artigos e aparelhos de prótese; aparelhos para facilitar a audição
dos surdos e outros aparelhos para</t>
  </si>
  <si>
    <t>90220000 - Ver descrição na tabela de incidência do ipi (tipi), conforme decreto nº
8.950/2016 e atualizações posteriores</t>
  </si>
  <si>
    <t>90221200 - Aparelhos de raios x e aparelhos que utilizem radiações alfa, beta ou
gama, mesmo para usos médicos, cirúrgicos, odontológicos ou
veterinários, incluídos os aparelhos de radiofotografia ou de radioterapia,
os tubos de raios x e outros dispositivos gerador</t>
  </si>
  <si>
    <t>90221311 - Aparelhos de raios x e aparelhos que utilizem radiações alfa, beta ou
gama, mesmo para usos médicos, cirúrgicos, odontológicos ou
veterinários, incluídos os aparelhos de radiofotografia ou de radioterapia,
os tubos de raios x e outros dispositivos gerador</t>
  </si>
  <si>
    <t>90221319 - Aparelhos de raios x e aparelhos que utilizem radiações alfa, beta ou
gama, mesmo para usos médicos, cirúrgicos, odontológicos ou
veterinários, incluídos os aparelhos de radiofotografia ou de radioterapia,
os tubos de raios x e outros dispositivos gerador</t>
  </si>
  <si>
    <t>90221390 - Aparelhos de raios x e aparelhos que utilizem radiações alfa, beta ou
gama, mesmo para usos médicos, cirúrgicos, odontológicos ou
veterinários, incluídos os aparelhos de radiofotografia ou de radioterapia,
os tubos de raios x e outros dispositivos gerador</t>
  </si>
  <si>
    <t>90221411 - Aparelhos de raios x e aparelhos que utilizem radiações alfa, beta ou
gama, mesmo para usos médicos, cirúrgicos, odontológicos ou
veterinários, incluídos os aparelhos de radiofotografia ou de radioterapia,
os tubos de raios x e outros dispositivos gerador</t>
  </si>
  <si>
    <t>90221412 - Aparelhos de raios x e aparelhos que utilizem radiações alfa, beta ou
gama, mesmo para usos médicos, cirúrgicos, odontológicos ou
veterinários, incluídos os aparelhos de radiofotografia ou de radioterapia,
os tubos de raios x e outros dispositivos gerador</t>
  </si>
  <si>
    <t>90221419 - Aparelhos de raios x e aparelhos que utilizem radiações alfa, beta ou
gama, mesmo para usos médicos, cirúrgicos, odontológicos ou
veterinários, incluídos os aparelhos de radiofotografia ou de radioterapia,
os tubos de raios x e outros dispositivos gerador</t>
  </si>
  <si>
    <t>90221490 - Aparelhos de raios x e aparelhos que utilizem radiações alfa, beta ou
gama, mesmo para usos médicos, cirúrgicos, odontológicos ou
veterinários, incluídos os aparelhos de radiofotografia ou de radioterapia,
os tubos de raios x e outros dispositivos gerador</t>
  </si>
  <si>
    <t>90221910 - Espectrômetros ou espectrógrafos de raios x</t>
  </si>
  <si>
    <t>90221991 - Dos tipos utilizados para inspeção de bagagens, com túnel de altura
inferior ou igual a 0,4m, largura inferior ou igual a 0,6m e comprimento
inferior ou igual a 1,2m</t>
  </si>
  <si>
    <t>90221999 - Outros</t>
  </si>
  <si>
    <t>90222110 - Aparelhos de raios x e aparelhos que utilizem radiações alfa, beta ou
gama, mesmo para usos médicos, cirúrgicos, odontológicos ou
veterinários, incluídos os aparelhos de radiofotografia ou de radioterapia,
os tubos de raios x e outros dispositivos gerador</t>
  </si>
  <si>
    <t>90222120 - Aparelhos de raios x e aparelhos que utilizem radiações alfa, beta ou
gama, mesmo para usos médicos, cirúrgicos, odontológicos ou
veterinários, incluídos os aparelhos de radiofotografia ou de radioterapia,
os tubos de raios x e outros dispositivos gerador</t>
  </si>
  <si>
    <t>90222190 - Aparelhos de raios x e aparelhos que utilizem radiações alfa, beta ou
gama, mesmo para usos médicos, cirúrgicos, odontológicos ou
veterinários, incluídos os aparelhos de radiofotografia ou de radioterapia,
os tubos de raios x e outros dispositivos gerador</t>
  </si>
  <si>
    <t>90222910 - Para detecção do nível de enchimento ou tampas faltantes, em latas de
bebidas, por meio de raios gama</t>
  </si>
  <si>
    <t>90222990 - Outros</t>
  </si>
  <si>
    <t>90229011 - Aparelhos de raios x e aparelhos que utilizem radiações alfa, beta ou
gama, mesmo para usos médicos, cirúrgicos, odontológicos ou
veterinários, incluídos os aparelhos de radiofotografia ou de radioterapia,
os tubos de raios x e outros dispositivos gerador</t>
  </si>
  <si>
    <t>90229012 - Aparelhos de raios x e aparelhos que utilizem radiações alfa, beta ou
gama, mesmo para usos médicos, cirúrgicos, odontológicos ou
veterinários, incluídos os aparelhos de radiofotografia ou de radioterapia,
os tubos de raios x e outros dispositivos gerador</t>
  </si>
  <si>
    <t>90229019 - Aparelhos de raios x e aparelhos que utilizem radiações alfa, beta ou
gama, mesmo para usos médicos, cirúrgicos, odontológicos ou
veterinários, incluídos os aparelhos de radiofotografia ou de radioterapia,
os tubos de raios x e outros dispositivos gerador</t>
  </si>
  <si>
    <t>90229080 - Aparelhos de raios x e aparelhos que utilizem radiações alfa, beta ou
gama, mesmo para usos médicos, cirúrgicos, odontológicos ou
veterinários, incluídos os aparelhos de radiofotografia ou de radioterapia,
os tubos de raios x e outros dispositivos gerador</t>
  </si>
  <si>
    <t>90229090 - Aparelhos de raios x e aparelhos que utilizem radiações alfa, beta ou
gama, mesmo para usos médicos, cirúrgicos, odontológicos ou
veterinários, incluídos os aparelhos de radiofotografia ou de radioterapia,
os tubos de raios x e outros dispositivos gerador</t>
  </si>
  <si>
    <t>90240000 - Ver descrição na tabela de incidência do ipi (tipi), conforme decreto nº
8.950/2016 e atualizações posteriores</t>
  </si>
  <si>
    <t>90241010 - Para ensaios de tração ou compressão</t>
  </si>
  <si>
    <t>90241020 - Para ensaios de dureza</t>
  </si>
  <si>
    <t>90241090 - Outros</t>
  </si>
  <si>
    <t>90248011 - Automáticos, para fios</t>
  </si>
  <si>
    <t>90248019 - Outros</t>
  </si>
  <si>
    <t>90248021 - Máquinas para ensaios de pneumáticos</t>
  </si>
  <si>
    <t>90248029 - Outros</t>
  </si>
  <si>
    <t>90248090 - Outros</t>
  </si>
  <si>
    <t>90249000 - Partes e acessórios</t>
  </si>
  <si>
    <t>90250000 - Ver descrição na tabela de incidência do ipi (tipi), conforme decreto nº
8.950/2016 e atualizações posteriores</t>
  </si>
  <si>
    <t>90251110 - Densímetros, areômetros, pesa-líquidos e instrumentos flutuantes
semelhantes, termômetros, pirômetros, barômetros, higrômetros e
psicrômetros, registradores ou não, mesmo combinados entre si. De
líquido, de leitura direta. Termômetros clínicos.</t>
  </si>
  <si>
    <t>90251190 - Outros</t>
  </si>
  <si>
    <t>90251910 - Pirômetros ópticos</t>
  </si>
  <si>
    <t>90251990 - Outros</t>
  </si>
  <si>
    <t>90258000 - Outros instrumentos</t>
  </si>
  <si>
    <t>90259010 - De termômetros</t>
  </si>
  <si>
    <t>90259090 - Outros</t>
  </si>
  <si>
    <t>90260000 - Ver descrição na tabela de incidência do ipi (tipi), conforme decreto nº
8.950/2016 e atualizações posteriores</t>
  </si>
  <si>
    <t>90261019 - Outros</t>
  </si>
  <si>
    <t>90261021 - De metais, mediante correntes parasitas</t>
  </si>
  <si>
    <t>90261029 - Outros</t>
  </si>
  <si>
    <t>90262010 - Manômetros</t>
  </si>
  <si>
    <t>90262090 - Outros</t>
  </si>
  <si>
    <t>90268000 - Outros instrumentos e aparelhos</t>
  </si>
  <si>
    <t>90269010 - De instrumentos e aparelhos para medida ou controle do nível</t>
  </si>
  <si>
    <t>90269020 - De manômetros</t>
  </si>
  <si>
    <t>90269090 - Outros</t>
  </si>
  <si>
    <t>90270000 - Ver descrição na tabela de incidência do ipi (tipi), conforme decreto nº
8.950/2016 e atualizações posteriores</t>
  </si>
  <si>
    <t>90271000 - Analisadores de gases ou de fumaça</t>
  </si>
  <si>
    <t>90272011 - De fase gasosa</t>
  </si>
  <si>
    <t>90272012 - De fase líquida</t>
  </si>
  <si>
    <t>90272019 - Outros</t>
  </si>
  <si>
    <t>90272021 - Seqüenciadores automáticos de adn mediante eletroforese capilar</t>
  </si>
  <si>
    <t>90272029 - Outros</t>
  </si>
  <si>
    <t>90273011 - De emissão atômica</t>
  </si>
  <si>
    <t>90273019 - Outros</t>
  </si>
  <si>
    <t>90273020 - Espectrofotômetros</t>
  </si>
  <si>
    <t>90275010 - Colorímetros</t>
  </si>
  <si>
    <t>90275020 - Fotômetros</t>
  </si>
  <si>
    <t>90275030 - Refratômetros</t>
  </si>
  <si>
    <t>90275040 - Sacarímetros</t>
  </si>
  <si>
    <t>90275050 - Citômetro de fluxo</t>
  </si>
  <si>
    <t>90275090 - Outros</t>
  </si>
  <si>
    <t>90278011 - Calorímetros</t>
  </si>
  <si>
    <t>90278012 - Viscosímetros</t>
  </si>
  <si>
    <t>90278013 - Densitômetros</t>
  </si>
  <si>
    <t>90278014 - Aparelhos medidores de ph</t>
  </si>
  <si>
    <t>90278020 - Espectrômetros de massa</t>
  </si>
  <si>
    <t>90278030 - Polarógrafos</t>
  </si>
  <si>
    <t>90278091 - Exposímetros</t>
  </si>
  <si>
    <t>90278099 - Outros</t>
  </si>
  <si>
    <t>90279010 - Micrótomos</t>
  </si>
  <si>
    <t>90279091 - De espectrômetros e espectrógrafos, de emissão atômica</t>
  </si>
  <si>
    <t>90279093 - De polarógrafos</t>
  </si>
  <si>
    <t>90279099 - Outros</t>
  </si>
  <si>
    <t>90280000 - Ver descrição na tabela de incidência do ipi (tipi), conforme decreto nº
8.950/2016 e atualizações posteriores</t>
  </si>
  <si>
    <t>90281011 - Dos tipos utilizados em postos (estações) de serviço ou garagens</t>
  </si>
  <si>
    <t>90281019 - Outros</t>
  </si>
  <si>
    <t>90281090 - Outros</t>
  </si>
  <si>
    <t>90282010 - De peso inferior ou igual a 50kg</t>
  </si>
  <si>
    <t>90282020 - De peso superior a 50kg</t>
  </si>
  <si>
    <t>90283011 - Digitais</t>
  </si>
  <si>
    <t>90283019 - Outros</t>
  </si>
  <si>
    <t>90283021 - Digitais</t>
  </si>
  <si>
    <t>90283029 - Outros</t>
  </si>
  <si>
    <t>90283031 - Digitais</t>
  </si>
  <si>
    <t>90283039 - Outros</t>
  </si>
  <si>
    <t>90283090 - Outros</t>
  </si>
  <si>
    <t>90289010 - De contadores de eletricidade</t>
  </si>
  <si>
    <t>90289090 - Outros</t>
  </si>
  <si>
    <t>90290000 - Ver descrição na tabela de incidência do ipi (tipi), conforme decreto nº
8.950/2016 e atualizações posteriores</t>
  </si>
  <si>
    <t>90291010 - Contadores de voltas, contadores de produção ou de horas de trabalho</t>
  </si>
  <si>
    <t>90292010 - Indicadores de velocidade e tacômetros</t>
  </si>
  <si>
    <t>90299010 - De indicadores de velocidade e tacômetros</t>
  </si>
  <si>
    <t>90299090 - Outros contadores - outros</t>
  </si>
  <si>
    <t>90303321 - Do tipo dos utilizados em veículos automóveis</t>
  </si>
  <si>
    <t>90303921 - Do tipo dos utilizados em veículos automóveis</t>
  </si>
  <si>
    <t>90303990 - Outros</t>
  </si>
  <si>
    <t>90304030 - Analisadores digitais de transmissão</t>
  </si>
  <si>
    <t>90304090 - Outros</t>
  </si>
  <si>
    <t>90308490 - Outros</t>
  </si>
  <si>
    <t>90308990 - Outros</t>
  </si>
  <si>
    <t>90309090 - Outros</t>
  </si>
  <si>
    <t>90310000 - Ver descrição na tabela de incidência do ipi (tipi), conforme decreto nº
8.950/2016 e atualizações posteriores</t>
  </si>
  <si>
    <t>90311000 - Máquinas de equilibrar peças mecânicas</t>
  </si>
  <si>
    <t>90312010 - Para motores</t>
  </si>
  <si>
    <t>90312090 - Outros</t>
  </si>
  <si>
    <t>90314100 - Para controle de discos ("wafers") ou de dispositivos semicondutores
ou para controle de máscaras ou retículas utilizadas na fabricação de
dispositivos semicondutores</t>
  </si>
  <si>
    <t>90314910 - Para medida de parâmetros dimensionais de fibras de celulose, por meio
de raios laser</t>
  </si>
  <si>
    <t>90314920 - Para medida da espessura de pneumáticos de veículos automóveis, por
meio de raios laser</t>
  </si>
  <si>
    <t>90314990 - Outros</t>
  </si>
  <si>
    <t>90318011 - Dinamômetros</t>
  </si>
  <si>
    <t>90318012 - Rugosímetros</t>
  </si>
  <si>
    <t>90318020 - Máquinas para medição tridimensional</t>
  </si>
  <si>
    <t>90318030 - Metros padrões</t>
  </si>
  <si>
    <t>90318040 - Aparelhos digitais, de uso em veículos automóveis, para medida e
indicação de múltiplas grandezas tais como: velocidade média, consumos
instantâneo e médio e autonomia (computador de bordo)</t>
  </si>
  <si>
    <t>90318050 - Aparelhos para análise de têxteis, computadorizados</t>
  </si>
  <si>
    <t>90318060 - Células de carga</t>
  </si>
  <si>
    <t>90318091 - Para controle dimensional de pneumáticos, em condições de carga</t>
  </si>
  <si>
    <t>90318099 - Outros</t>
  </si>
  <si>
    <t>90319010 - De bancos de ensaio</t>
  </si>
  <si>
    <t>90319090 - Outros</t>
  </si>
  <si>
    <t>90320000 - Ver descrição na tabela de incidência do ipi (tipi), conforme decreto nº
8.950/2016 e atualizações posteriores</t>
  </si>
  <si>
    <t>90321010 - De expansão de fluídos</t>
  </si>
  <si>
    <t>90321090 - Outros</t>
  </si>
  <si>
    <t>90322000 - Manostatos (pressostatos)</t>
  </si>
  <si>
    <t>90328100 - Hidráulicos ou pneumáticos</t>
  </si>
  <si>
    <t>90328911 - Eletrônicos</t>
  </si>
  <si>
    <t>90328920 - Controladores eletrônicos do tipo dos utilizados em veículos automóveis</t>
  </si>
  <si>
    <t>90328980 - Outros, para regulação ou controle de grandezas não elétricas</t>
  </si>
  <si>
    <t>90328990 - Outros (instrumentos e aparelhos para regulação ou controle,
automáticos)</t>
  </si>
  <si>
    <t>90329010 - Circuitos impressos com componentes elétricos ou eletrônicos, montados</t>
  </si>
  <si>
    <t>90329099 - Outros</t>
  </si>
  <si>
    <t>90330000 - Partes e acessórios não especificados nem compreendidos em outras
posições do presente capítulo, para máquinas, aparelhos, instrumentos ou
artigos do capítulo 90.</t>
  </si>
  <si>
    <t>91040000 - Relógios para painéis de instrumentos e relógios semelhantes, para
automóveis, veículos aéreos, embarcações ou para outros veículos.</t>
  </si>
  <si>
    <t>91070010 - Interruptores horários</t>
  </si>
  <si>
    <t>91091000 - Funcionando eletricamente</t>
  </si>
  <si>
    <t>94012000 - Assentos dos tipos utilizados em veículos automóveis</t>
  </si>
  <si>
    <t>94013000 - Assentos giratórios, de altura ajustável</t>
  </si>
  <si>
    <t>94014000 - Assentos transformáveis em camas, exceto material de acampamento ou
de jardim</t>
  </si>
  <si>
    <t>94015000 - Assentos de ratã, vime, bambu ou matérias semelhantes:</t>
  </si>
  <si>
    <t>94016000 - Outros assentos, com armação de madeira</t>
  </si>
  <si>
    <t>94017000 - Outros assentos, com armação de metal</t>
  </si>
  <si>
    <t>94018000 - Outros assentos</t>
  </si>
  <si>
    <t>94019000 - Partes</t>
  </si>
  <si>
    <t>94020000 - Mobiliário para medicina, cirurgia, odontologia ou veterinária (por
exemplo, mesas de operação, mesas de exames, camas dotadas de
mecanismos para usos clínicos, cadeiras de dentista); cadeiras para salões
de cabeleireiro e cadeiras semelhantes, com dispositivos de orientação e
de elevação; suas partes.</t>
  </si>
  <si>
    <t>94021000 - Cadeiras de dentista, cadeiras para salões de cabeleireiro e cadeiras
semelhantes, e suas partes</t>
  </si>
  <si>
    <t>94029010 - Mesas de operação</t>
  </si>
  <si>
    <t>94029020 - Camas dotadas de mecanismos para usos clínicos</t>
  </si>
  <si>
    <t>94029090 - Outros</t>
  </si>
  <si>
    <t>94030000 - Outros móveis e suas partes.</t>
  </si>
  <si>
    <t>94041000 - Suportes para camas (somiês)</t>
  </si>
  <si>
    <t>94042000 - Colchões</t>
  </si>
  <si>
    <t>94049000 - Outros</t>
  </si>
  <si>
    <t>94051093 - De metais comuns</t>
  </si>
  <si>
    <t>94051099 - Outros</t>
  </si>
  <si>
    <t>94052000 - Abajures de cabeceira, de escritório e lampadários de interior, elétricos</t>
  </si>
  <si>
    <t>94059100 - De vidro</t>
  </si>
  <si>
    <t>94060010 - Estufas</t>
  </si>
  <si>
    <t>94060092 - Com estrutura de ferro ou aço e paredes exteriores constituídas
essencialmente dessas matérias</t>
  </si>
  <si>
    <t>94060099 - Construções pré-fabricadas. Outras.</t>
  </si>
  <si>
    <t>95030010 - Triciclos, patinetes, carros de pedais e outros brinquedos semelhantes
com rodas; carrinhos para bonecos, mesmo vestidos, com mecanismo a
corda ou elétrico</t>
  </si>
  <si>
    <t>95030021 - Bonecos, mesmo vestidos, com mecanismo a corda ou elétrico</t>
  </si>
  <si>
    <t>95030022 - Outros bonecos, mesmo vestidos</t>
  </si>
  <si>
    <t>95030029 - Partes e acessórios</t>
  </si>
  <si>
    <t>95030031 - Brinquedos que representem animais ou seres não humanos: com
enchimento</t>
  </si>
  <si>
    <t>95030039 - Brinquedos que representem animais ou seres não humanos: outros</t>
  </si>
  <si>
    <t>95030040 - Trens elétricos, incluindo os trilhos, sinais e outros acessórios</t>
  </si>
  <si>
    <t>95030050 - Modelos reduzidos, mesmo animados, em conjuntos para montagem,
exceto os do item 9503.00.40</t>
  </si>
  <si>
    <t>95030060 - Outros conjuntos e brinquedos, para construção</t>
  </si>
  <si>
    <t>95030070 - Quebra-cabeças (puzzles)</t>
  </si>
  <si>
    <t>95030080 - Outros brinquedos, apresentados em sortidos ou em panóplias</t>
  </si>
  <si>
    <t>95030091 - Instrumentos e aparelhos musicais, de brinquedo</t>
  </si>
  <si>
    <t>95030097 - Outros brinquedos, com motor elétrico</t>
  </si>
  <si>
    <t>95030098 - Outros brinquedos, com motor não elétrico</t>
  </si>
  <si>
    <t>95030099 - Outros</t>
  </si>
  <si>
    <t>95066200 - Bolas infláveis</t>
  </si>
  <si>
    <t>95069100 - Artigos e equipamentos para cultura física, ginástica ou atletismo</t>
  </si>
  <si>
    <t>96032100 - Vassouras, escovas (mesmo as escovas que constituam partes de
máquinas, aparelhos ou veículos), vassouras mecânicas de uso manual
exceto com motor, pincéis, esfregões e espanadores; cabeças preparadas
para vassouras, escovas, pincéis e artigos semelhantes</t>
  </si>
  <si>
    <t>96060000 - Botões, incluídos os de pressão; formas e outras partes, de botões ou de
botões de pressão; esboços de botões.</t>
  </si>
  <si>
    <t>96070000 - Fechos ecler e suas partes.</t>
  </si>
  <si>
    <t>96138000 - Outros isqueiros e acendedores</t>
  </si>
  <si>
    <t>96160000 - Vaporizadores de toucador, suas armações e cabeças de armações; borlas
ou esponjas para pós ou para aplicação de outros cosméticos ou de
produtos de toucador.</t>
  </si>
  <si>
    <t>96190000 - Absorventes e tampões higiênicos, cueiros e fraldas para bebês e artigos
higiênicos semelhantes, de qualquer matéria.</t>
  </si>
  <si>
    <t>96200000 - Ver descrição na tabela de incidência do ipi (tipi), conforme decreto nº
8.950/2016 e atualizações posteriores</t>
  </si>
  <si>
    <t>99990010 - Código genérico - outras receitas, sujeitas à alíquota de 1,0%</t>
  </si>
  <si>
    <t>99990015 - Código genérico - outras receitas, sujeitas à alíquota de 1,5%</t>
  </si>
  <si>
    <t>99990020 - Código genérico - outras receitas, sujeitas à alíquota de 2,0%</t>
  </si>
  <si>
    <t>99990025 - Código genérico - outras receitas, sujeitas à alíquota de 2,5%</t>
  </si>
  <si>
    <t>99990030 - Código genérico - outras receitas, sujeitas à alíquota de 3,0%</t>
  </si>
  <si>
    <t>99990045 - Código genérico - outras receitas, sujeitas à alíquota de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</si>
</sst>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quot;R$&quot;\ #,##0.00"/>
  </numFmts>
  <fonts count="9">
    <font>
      <sz val="10"/>
      <name val="Arial"/>
      <family val="2"/>
    </font>
    <font>
      <sz val="10"/>
      <name val="Arial"/>
      <family val="2"/>
    </font>
    <font>
      <b/>
      <i/>
      <sz val="10"/>
      <color rgb="FF2B6BA5"/>
      <name val="Arial"/>
      <family val="2"/>
    </font>
    <font>
      <b/>
      <i/>
      <sz val="10"/>
      <color rgb="FFFF0000"/>
      <name val="Arial"/>
      <family val="2"/>
    </font>
    <font>
      <b/>
      <i/>
      <sz val="10"/>
      <color theme="5" tint="-0.249977111117893"/>
      <name val="Arial"/>
      <family val="2"/>
    </font>
    <font>
      <b/>
      <i/>
      <sz val="11"/>
      <color rgb="FF2B6BA5"/>
      <name val="Aptos Narrow"/>
      <family val="2"/>
      <scheme val="minor"/>
    </font>
    <font>
      <b/>
      <i/>
      <sz val="11"/>
      <color rgb="FFFF0000"/>
      <name val="Aptos Narrow"/>
      <family val="2"/>
      <scheme val="minor"/>
    </font>
    <font>
      <b/>
      <i/>
      <sz val="11"/>
      <color rgb="FF2B6BA5"/>
      <name val="Arial"/>
      <family val="2"/>
    </font>
    <font>
      <b/>
      <sz val="10"/>
      <name val="Arial"/>
      <family val="2"/>
    </font>
  </fonts>
  <fills count="4">
    <fill>
      <patternFill patternType="none"/>
    </fill>
    <fill>
      <patternFill patternType="gray125"/>
    </fill>
    <fill>
      <patternFill patternType="solid">
        <fgColor rgb="FFE1EDF5"/>
        <bgColor indexed="64"/>
      </patternFill>
    </fill>
    <fill>
      <patternFill patternType="solid">
        <fgColor rgb="FFF1F6FA"/>
        <bgColor indexed="64"/>
      </patternFill>
    </fill>
  </fills>
  <borders count="3">
    <border>
      <left/>
      <right/>
      <top/>
      <bottom/>
      <diagonal/>
    </border>
    <border>
      <left style="medium">
        <color rgb="FFC0D8E8"/>
      </left>
      <right style="medium">
        <color rgb="FFC0D8E8"/>
      </right>
      <top style="medium">
        <color rgb="FFC0D8E8"/>
      </top>
      <bottom style="medium">
        <color rgb="FFC0D8E8"/>
      </bottom>
      <diagonal/>
    </border>
    <border>
      <left style="medium">
        <color rgb="FFC0D8E8"/>
      </left>
      <right style="medium">
        <color rgb="FFC0D8E8"/>
      </right>
      <top/>
      <bottom style="medium">
        <color rgb="FFC0D8E8"/>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49" fontId="2"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2" fontId="2" fillId="2" borderId="1" xfId="0" applyNumberFormat="1" applyFont="1" applyFill="1" applyBorder="1" applyAlignment="1">
      <alignment horizontal="center" vertical="center" wrapText="1"/>
    </xf>
    <xf numFmtId="49" fontId="0" fillId="3" borderId="2" xfId="0" applyNumberFormat="1" applyFill="1" applyBorder="1" applyAlignment="1">
      <alignment horizontal="center" vertical="center" wrapText="1"/>
    </xf>
    <xf numFmtId="14" fontId="0" fillId="3" borderId="2" xfId="0" applyNumberFormat="1" applyFill="1" applyBorder="1" applyAlignment="1">
      <alignment horizontal="center" vertical="center" wrapText="1"/>
    </xf>
    <xf numFmtId="2" fontId="0" fillId="3" borderId="2" xfId="0" applyNumberFormat="1" applyFill="1" applyBorder="1" applyAlignment="1">
      <alignment horizontal="center" vertical="center" wrapText="1"/>
    </xf>
    <xf numFmtId="49" fontId="0" fillId="0" borderId="0" xfId="0" applyNumberFormat="1" applyAlignment="1">
      <alignment horizontal="center" vertical="center"/>
    </xf>
    <xf numFmtId="14" fontId="0" fillId="0" borderId="0" xfId="0" applyNumberFormat="1" applyAlignment="1">
      <alignment horizontal="center" vertical="center"/>
    </xf>
    <xf numFmtId="49" fontId="0" fillId="0" borderId="0" xfId="0" applyNumberFormat="1" applyAlignment="1">
      <alignment horizontal="left" vertical="center"/>
    </xf>
    <xf numFmtId="2" fontId="0" fillId="0" borderId="0" xfId="0" applyNumberFormat="1" applyAlignment="1">
      <alignment horizontal="center" vertical="center"/>
    </xf>
    <xf numFmtId="2" fontId="0" fillId="0" borderId="0" xfId="1" applyNumberFormat="1" applyFont="1" applyAlignment="1">
      <alignment horizontal="center" vertical="center"/>
    </xf>
    <xf numFmtId="0" fontId="1" fillId="0" borderId="0" xfId="0" applyFont="1"/>
    <xf numFmtId="0" fontId="8" fillId="0" borderId="0" xfId="0" applyFont="1"/>
    <xf numFmtId="49" fontId="0" fillId="0" borderId="0" xfId="0" applyNumberFormat="1"/>
    <xf numFmtId="0" fontId="0" fillId="3" borderId="2" xfId="0" applyNumberFormat="1" applyFill="1" applyBorder="1" applyAlignment="1">
      <alignment horizontal="center" vertical="center" wrapText="1"/>
    </xf>
    <xf numFmtId="164" fontId="0" fillId="3" borderId="2" xfId="0" applyNumberFormat="1" applyFill="1" applyBorder="1" applyAlignment="1">
      <alignment horizontal="center" vertical="center" wrapText="1"/>
    </xf>
    <xf numFmtId="1" fontId="0" fillId="3" borderId="2" xfId="0" applyNumberFormat="1" applyFill="1" applyBorder="1" applyAlignment="1">
      <alignment horizontal="center" vertical="center" wrapText="1"/>
    </xf>
  </cellXfs>
  <cellStyles count="2">
    <cellStyle name="Normal" xfId="0" builtinId="0"/>
    <cellStyle name="Vírgula" xfId="1" builtinId="3"/>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4e7e5b214f29c239/TRABALHO/OUTROS/Documentos/JOAO%20MARCELO/JUAZEIRO%20DO%20NORTE/2025/Fonte%20Juazeiro%20do%20Norte%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2010"/>
      <sheetName val="R4010"/>
      <sheetName val="R4020"/>
      <sheetName val="R-2055"/>
      <sheetName val="JUDICIAL"/>
      <sheetName val="NAO LISTADO"/>
      <sheetName val="RESUMO"/>
    </sheetNames>
    <sheetDataSet>
      <sheetData sheetId="0">
        <row r="2">
          <cell r="H2" t="str">
            <v>19.125.143/0001-58</v>
          </cell>
          <cell r="J2">
            <v>45689</v>
          </cell>
          <cell r="L2">
            <v>998460.54</v>
          </cell>
        </row>
        <row r="3">
          <cell r="H3" t="str">
            <v>16.383.848/0001-87</v>
          </cell>
          <cell r="J3">
            <v>45689</v>
          </cell>
          <cell r="L3">
            <v>39987.18</v>
          </cell>
        </row>
        <row r="4">
          <cell r="H4" t="str">
            <v>02.130.122/0001-28</v>
          </cell>
          <cell r="J4">
            <v>45689</v>
          </cell>
          <cell r="L4">
            <v>1150</v>
          </cell>
        </row>
        <row r="5">
          <cell r="H5" t="str">
            <v>24.525.971/0001-13</v>
          </cell>
          <cell r="J5">
            <v>45689</v>
          </cell>
          <cell r="L5">
            <v>7880.06</v>
          </cell>
        </row>
        <row r="6">
          <cell r="H6" t="str">
            <v>24.525.971/0001-13</v>
          </cell>
          <cell r="J6">
            <v>45689</v>
          </cell>
          <cell r="L6">
            <v>31520.36</v>
          </cell>
        </row>
        <row r="7">
          <cell r="H7" t="str">
            <v>24.525.971/0001-13</v>
          </cell>
          <cell r="J7">
            <v>45689</v>
          </cell>
          <cell r="L7">
            <v>39400.449999999997</v>
          </cell>
        </row>
        <row r="8">
          <cell r="H8" t="str">
            <v>15.676.890/0001-23</v>
          </cell>
          <cell r="J8">
            <v>45689</v>
          </cell>
          <cell r="L8">
            <v>85839.45</v>
          </cell>
        </row>
        <row r="9">
          <cell r="H9" t="str">
            <v>27.467.105/0001-01</v>
          </cell>
          <cell r="J9">
            <v>45689</v>
          </cell>
          <cell r="L9">
            <v>22099.5</v>
          </cell>
        </row>
        <row r="10">
          <cell r="H10" t="str">
            <v>41.332.445/0001-56</v>
          </cell>
          <cell r="J10">
            <v>45689</v>
          </cell>
          <cell r="L10">
            <v>454417.72</v>
          </cell>
        </row>
        <row r="11">
          <cell r="H11" t="str">
            <v>40.039.126/0001-94</v>
          </cell>
          <cell r="J11">
            <v>45689</v>
          </cell>
          <cell r="L11">
            <v>2795391.26</v>
          </cell>
        </row>
        <row r="12">
          <cell r="H12" t="str">
            <v>19.125.143/0001-58</v>
          </cell>
          <cell r="J12">
            <v>45717</v>
          </cell>
          <cell r="L12">
            <v>447953.65</v>
          </cell>
        </row>
        <row r="13">
          <cell r="H13" t="str">
            <v>22.594.152/0001-00</v>
          </cell>
          <cell r="J13">
            <v>45717</v>
          </cell>
          <cell r="L13">
            <v>67850</v>
          </cell>
        </row>
        <row r="14">
          <cell r="H14" t="str">
            <v>02.130.122/0001-28</v>
          </cell>
          <cell r="J14">
            <v>45717</v>
          </cell>
          <cell r="L14">
            <v>1150</v>
          </cell>
        </row>
        <row r="15">
          <cell r="H15" t="str">
            <v>16.383.848/0001-87</v>
          </cell>
          <cell r="J15">
            <v>45717</v>
          </cell>
          <cell r="L15">
            <v>39987.18</v>
          </cell>
        </row>
        <row r="16">
          <cell r="H16" t="str">
            <v>15.676.890/0001-23</v>
          </cell>
          <cell r="J16">
            <v>45717</v>
          </cell>
          <cell r="L16">
            <v>91546.65</v>
          </cell>
        </row>
        <row r="17">
          <cell r="H17" t="str">
            <v>24.525.971/0001-13</v>
          </cell>
          <cell r="J17">
            <v>45717</v>
          </cell>
          <cell r="L17">
            <v>8900.01</v>
          </cell>
        </row>
        <row r="18">
          <cell r="H18" t="str">
            <v>24.525.971/0001-13</v>
          </cell>
          <cell r="J18">
            <v>45717</v>
          </cell>
          <cell r="L18">
            <v>35600.160000000003</v>
          </cell>
        </row>
        <row r="19">
          <cell r="H19" t="str">
            <v>24.525.971/0001-13</v>
          </cell>
          <cell r="J19">
            <v>45717</v>
          </cell>
          <cell r="L19">
            <v>44500.2</v>
          </cell>
        </row>
        <row r="20">
          <cell r="H20" t="str">
            <v>69.374.585/0001-06</v>
          </cell>
          <cell r="J20">
            <v>45717</v>
          </cell>
          <cell r="L20">
            <v>203353.36</v>
          </cell>
        </row>
        <row r="21">
          <cell r="H21" t="str">
            <v>69.374.585/0001-06</v>
          </cell>
          <cell r="J21">
            <v>45717</v>
          </cell>
          <cell r="L21">
            <v>251685.54</v>
          </cell>
        </row>
        <row r="22">
          <cell r="H22" t="str">
            <v>19.125.143/0001-58</v>
          </cell>
          <cell r="J22">
            <v>45717</v>
          </cell>
          <cell r="L22">
            <v>200000</v>
          </cell>
        </row>
        <row r="23">
          <cell r="H23" t="str">
            <v>03.420.933/0001-26</v>
          </cell>
          <cell r="J23">
            <v>45748</v>
          </cell>
          <cell r="L23">
            <v>711.58</v>
          </cell>
        </row>
        <row r="24">
          <cell r="H24" t="str">
            <v>03.420.933/0001-26</v>
          </cell>
          <cell r="J24">
            <v>45748</v>
          </cell>
          <cell r="L24">
            <v>793.72</v>
          </cell>
        </row>
        <row r="25">
          <cell r="H25" t="str">
            <v>03.420.933/0001-26</v>
          </cell>
          <cell r="J25">
            <v>45748</v>
          </cell>
          <cell r="L25">
            <v>1431.29</v>
          </cell>
        </row>
        <row r="26">
          <cell r="H26" t="str">
            <v>03.420.933/0001-26</v>
          </cell>
          <cell r="J26">
            <v>45748</v>
          </cell>
          <cell r="L26">
            <v>1845.64</v>
          </cell>
        </row>
        <row r="27">
          <cell r="H27" t="str">
            <v>03.420.933/0001-26</v>
          </cell>
          <cell r="J27">
            <v>45748</v>
          </cell>
          <cell r="L27">
            <v>2380.88</v>
          </cell>
        </row>
        <row r="28">
          <cell r="H28" t="str">
            <v>03.420.933/0001-26</v>
          </cell>
          <cell r="J28">
            <v>45748</v>
          </cell>
          <cell r="L28">
            <v>3870.07</v>
          </cell>
        </row>
        <row r="29">
          <cell r="H29" t="str">
            <v>03.420.933/0001-26</v>
          </cell>
          <cell r="J29">
            <v>45748</v>
          </cell>
          <cell r="L29">
            <v>4761.4799999999996</v>
          </cell>
        </row>
        <row r="30">
          <cell r="H30" t="str">
            <v>03.420.933/0001-26</v>
          </cell>
          <cell r="J30">
            <v>45748</v>
          </cell>
          <cell r="L30">
            <v>4939.04</v>
          </cell>
        </row>
        <row r="31">
          <cell r="H31" t="str">
            <v>03.420.933/0001-26</v>
          </cell>
          <cell r="J31">
            <v>45748</v>
          </cell>
          <cell r="L31">
            <v>9586.2000000000007</v>
          </cell>
        </row>
        <row r="32">
          <cell r="H32" t="str">
            <v>03.420.933/0001-26</v>
          </cell>
          <cell r="J32">
            <v>45748</v>
          </cell>
          <cell r="L32">
            <v>10560.15</v>
          </cell>
        </row>
        <row r="33">
          <cell r="H33" t="str">
            <v>03.420.933/0001-26</v>
          </cell>
          <cell r="J33">
            <v>45748</v>
          </cell>
          <cell r="L33">
            <v>12697.58</v>
          </cell>
        </row>
        <row r="34">
          <cell r="H34" t="str">
            <v>03.420.933/0001-26</v>
          </cell>
          <cell r="J34">
            <v>45748</v>
          </cell>
          <cell r="L34">
            <v>24628.83</v>
          </cell>
        </row>
        <row r="35">
          <cell r="H35" t="str">
            <v>33.921.755/0001-88</v>
          </cell>
          <cell r="J35">
            <v>45748</v>
          </cell>
          <cell r="L35">
            <v>4700</v>
          </cell>
        </row>
        <row r="36">
          <cell r="H36" t="str">
            <v>33.921.755/0001-88</v>
          </cell>
          <cell r="J36">
            <v>45748</v>
          </cell>
          <cell r="L36">
            <v>4700</v>
          </cell>
        </row>
        <row r="37">
          <cell r="H37" t="str">
            <v>04.238.951/0001-54</v>
          </cell>
          <cell r="J37">
            <v>45748</v>
          </cell>
          <cell r="L37">
            <v>16500</v>
          </cell>
        </row>
        <row r="38">
          <cell r="H38" t="str">
            <v>04.238.951/0001-54</v>
          </cell>
          <cell r="J38">
            <v>45748</v>
          </cell>
          <cell r="L38">
            <v>18300</v>
          </cell>
        </row>
        <row r="39">
          <cell r="H39" t="str">
            <v>30.994.850/0001-13</v>
          </cell>
          <cell r="J39">
            <v>45748</v>
          </cell>
          <cell r="L39">
            <v>401762.11</v>
          </cell>
        </row>
        <row r="40">
          <cell r="H40" t="str">
            <v>24.525.971/0001-13</v>
          </cell>
          <cell r="J40">
            <v>45748</v>
          </cell>
          <cell r="L40">
            <v>8431.44</v>
          </cell>
        </row>
        <row r="41">
          <cell r="H41" t="str">
            <v>24.525.971/0001-13</v>
          </cell>
          <cell r="J41">
            <v>45748</v>
          </cell>
          <cell r="L41">
            <v>33725.760000000002</v>
          </cell>
        </row>
        <row r="42">
          <cell r="H42" t="str">
            <v>24.525.971/0001-13</v>
          </cell>
          <cell r="J42">
            <v>45748</v>
          </cell>
          <cell r="L42">
            <v>42157.21</v>
          </cell>
        </row>
        <row r="43">
          <cell r="H43" t="str">
            <v>03.420.933/0001-26</v>
          </cell>
          <cell r="J43">
            <v>45748</v>
          </cell>
          <cell r="L43">
            <v>711.58</v>
          </cell>
        </row>
        <row r="44">
          <cell r="H44" t="str">
            <v>03.420.933/0001-26</v>
          </cell>
          <cell r="J44">
            <v>45748</v>
          </cell>
          <cell r="L44">
            <v>711.58</v>
          </cell>
        </row>
        <row r="45">
          <cell r="H45" t="str">
            <v>03.420.933/0001-26</v>
          </cell>
          <cell r="J45">
            <v>45748</v>
          </cell>
          <cell r="L45">
            <v>793.72</v>
          </cell>
        </row>
        <row r="46">
          <cell r="H46" t="str">
            <v>03.420.933/0001-26</v>
          </cell>
          <cell r="J46">
            <v>45748</v>
          </cell>
          <cell r="L46">
            <v>1113.4000000000001</v>
          </cell>
        </row>
        <row r="47">
          <cell r="H47" t="str">
            <v>03.420.933/0001-26</v>
          </cell>
          <cell r="J47">
            <v>45748</v>
          </cell>
          <cell r="L47">
            <v>1113.4000000000001</v>
          </cell>
        </row>
        <row r="48">
          <cell r="H48" t="str">
            <v>03.420.933/0001-26</v>
          </cell>
          <cell r="J48">
            <v>45748</v>
          </cell>
          <cell r="L48">
            <v>1185.81</v>
          </cell>
        </row>
        <row r="49">
          <cell r="H49" t="str">
            <v>03.420.933/0001-26</v>
          </cell>
          <cell r="J49">
            <v>45748</v>
          </cell>
          <cell r="L49">
            <v>1431.29</v>
          </cell>
        </row>
        <row r="50">
          <cell r="H50" t="str">
            <v>03.420.933/0001-26</v>
          </cell>
          <cell r="J50">
            <v>45748</v>
          </cell>
          <cell r="L50">
            <v>1442.27</v>
          </cell>
        </row>
        <row r="51">
          <cell r="H51" t="str">
            <v>03.420.933/0001-26</v>
          </cell>
          <cell r="J51">
            <v>45748</v>
          </cell>
          <cell r="L51">
            <v>3755.88</v>
          </cell>
        </row>
        <row r="52">
          <cell r="H52" t="str">
            <v>03.420.933/0001-26</v>
          </cell>
          <cell r="J52">
            <v>45748</v>
          </cell>
          <cell r="L52">
            <v>3919.88</v>
          </cell>
        </row>
        <row r="53">
          <cell r="H53" t="str">
            <v>03.420.933/0001-26</v>
          </cell>
          <cell r="J53">
            <v>45748</v>
          </cell>
          <cell r="L53">
            <v>10560.15</v>
          </cell>
        </row>
        <row r="54">
          <cell r="H54" t="str">
            <v>33.921.755/0001-88</v>
          </cell>
          <cell r="J54">
            <v>45748</v>
          </cell>
          <cell r="L54">
            <v>4700</v>
          </cell>
        </row>
        <row r="55">
          <cell r="H55" t="str">
            <v>27.467.105/0001-01</v>
          </cell>
          <cell r="J55">
            <v>45748</v>
          </cell>
          <cell r="L55">
            <v>12817.71</v>
          </cell>
        </row>
        <row r="56">
          <cell r="H56" t="str">
            <v>22.594.152/0001-00</v>
          </cell>
          <cell r="J56">
            <v>45748</v>
          </cell>
          <cell r="L56">
            <v>25000</v>
          </cell>
        </row>
        <row r="57">
          <cell r="H57" t="str">
            <v>03.420.933/0001-26</v>
          </cell>
          <cell r="J57">
            <v>45748</v>
          </cell>
          <cell r="L57">
            <v>1764.63</v>
          </cell>
        </row>
        <row r="58">
          <cell r="H58" t="str">
            <v>02.130.122/0001-28</v>
          </cell>
          <cell r="J58">
            <v>45748</v>
          </cell>
          <cell r="L58">
            <v>1150</v>
          </cell>
        </row>
        <row r="59">
          <cell r="H59" t="str">
            <v>27.298.172/0001-40</v>
          </cell>
          <cell r="J59">
            <v>45748</v>
          </cell>
          <cell r="L59">
            <v>11920</v>
          </cell>
        </row>
        <row r="60">
          <cell r="H60" t="str">
            <v>27.298.172/0001-40</v>
          </cell>
          <cell r="J60">
            <v>45748</v>
          </cell>
          <cell r="L60">
            <v>43063.040000000001</v>
          </cell>
        </row>
        <row r="61">
          <cell r="H61" t="str">
            <v>09.170.079/0001-73</v>
          </cell>
          <cell r="J61">
            <v>45778</v>
          </cell>
          <cell r="L61">
            <v>22276.400000000001</v>
          </cell>
        </row>
        <row r="62">
          <cell r="H62" t="str">
            <v>30.994.850/0001-13</v>
          </cell>
          <cell r="J62">
            <v>45778</v>
          </cell>
          <cell r="L62">
            <v>500000</v>
          </cell>
        </row>
        <row r="63">
          <cell r="H63" t="str">
            <v>22.594.152/0001-00</v>
          </cell>
          <cell r="J63">
            <v>45778</v>
          </cell>
          <cell r="L63">
            <v>599.4</v>
          </cell>
        </row>
        <row r="64">
          <cell r="H64" t="str">
            <v>22.594.152/0001-00</v>
          </cell>
          <cell r="J64">
            <v>45778</v>
          </cell>
          <cell r="L64">
            <v>14089.7</v>
          </cell>
        </row>
        <row r="65">
          <cell r="H65" t="str">
            <v>22.594.152/0001-00</v>
          </cell>
          <cell r="J65">
            <v>45778</v>
          </cell>
          <cell r="L65">
            <v>14526.1</v>
          </cell>
        </row>
        <row r="66">
          <cell r="H66" t="str">
            <v>69.374.585/0001-06</v>
          </cell>
          <cell r="J66">
            <v>45778</v>
          </cell>
          <cell r="L66">
            <v>564185.99</v>
          </cell>
        </row>
        <row r="67">
          <cell r="H67" t="str">
            <v>15.676.890/0001-23</v>
          </cell>
          <cell r="J67">
            <v>45778</v>
          </cell>
          <cell r="L67">
            <v>94426.35</v>
          </cell>
        </row>
        <row r="68">
          <cell r="H68" t="str">
            <v>15.676.890/0001-23</v>
          </cell>
          <cell r="J68">
            <v>45778</v>
          </cell>
          <cell r="L68">
            <v>95914.05</v>
          </cell>
        </row>
        <row r="69">
          <cell r="H69" t="str">
            <v>27.298.172/0001-40</v>
          </cell>
          <cell r="J69">
            <v>45778</v>
          </cell>
          <cell r="L69">
            <v>11920</v>
          </cell>
        </row>
        <row r="70">
          <cell r="H70" t="str">
            <v>27.298.172/0001-40</v>
          </cell>
          <cell r="J70">
            <v>45778</v>
          </cell>
          <cell r="L70">
            <v>71060</v>
          </cell>
        </row>
        <row r="71">
          <cell r="H71" t="str">
            <v>30.994.850/0001-13</v>
          </cell>
          <cell r="J71">
            <v>45778</v>
          </cell>
          <cell r="L71">
            <v>389588.28</v>
          </cell>
        </row>
        <row r="72">
          <cell r="H72" t="str">
            <v>24.525.971/0001-13</v>
          </cell>
          <cell r="J72">
            <v>45778</v>
          </cell>
          <cell r="L72">
            <v>8673.2099999999991</v>
          </cell>
        </row>
        <row r="73">
          <cell r="H73" t="str">
            <v>24.525.971/0001-13</v>
          </cell>
          <cell r="J73">
            <v>45778</v>
          </cell>
          <cell r="L73">
            <v>34692.839999999997</v>
          </cell>
        </row>
        <row r="74">
          <cell r="H74" t="str">
            <v>24.525.971/0001-13</v>
          </cell>
          <cell r="J74">
            <v>45778</v>
          </cell>
          <cell r="L74">
            <v>43366.05</v>
          </cell>
        </row>
        <row r="75">
          <cell r="H75" t="str">
            <v>02.130.122/0001-28</v>
          </cell>
          <cell r="J75">
            <v>45778</v>
          </cell>
          <cell r="L75">
            <v>1150</v>
          </cell>
        </row>
        <row r="76">
          <cell r="H76" t="str">
            <v>30.994.850/0001-13</v>
          </cell>
          <cell r="J76">
            <v>45778</v>
          </cell>
          <cell r="L76">
            <v>150000</v>
          </cell>
        </row>
        <row r="77">
          <cell r="H77" t="str">
            <v>22.594.152/0001-00</v>
          </cell>
          <cell r="J77">
            <v>45778</v>
          </cell>
          <cell r="L77">
            <v>15926.94</v>
          </cell>
        </row>
        <row r="78">
          <cell r="H78" t="str">
            <v>40.039.126/0001-94</v>
          </cell>
          <cell r="J78">
            <v>45778</v>
          </cell>
          <cell r="L78">
            <v>2100887.0099999998</v>
          </cell>
        </row>
        <row r="79">
          <cell r="H79" t="str">
            <v>09.170.079/0001-73</v>
          </cell>
          <cell r="J79">
            <v>45809</v>
          </cell>
          <cell r="L79">
            <v>22276.400000000001</v>
          </cell>
        </row>
        <row r="80">
          <cell r="H80" t="str">
            <v>30.994.850/0001-13</v>
          </cell>
          <cell r="J80">
            <v>45809</v>
          </cell>
          <cell r="L80">
            <v>80265.2</v>
          </cell>
        </row>
        <row r="81">
          <cell r="H81" t="str">
            <v>41.332.445/0001-56</v>
          </cell>
          <cell r="J81">
            <v>45809</v>
          </cell>
          <cell r="L81">
            <v>136244.98000000001</v>
          </cell>
        </row>
        <row r="82">
          <cell r="H82" t="str">
            <v>40.039.126/0001-94</v>
          </cell>
          <cell r="J82">
            <v>45809</v>
          </cell>
          <cell r="L82">
            <v>12415.46</v>
          </cell>
        </row>
        <row r="83">
          <cell r="H83" t="str">
            <v>40.039.126/0001-94</v>
          </cell>
          <cell r="J83">
            <v>45809</v>
          </cell>
          <cell r="L83">
            <v>928767.92</v>
          </cell>
        </row>
        <row r="84">
          <cell r="H84" t="str">
            <v>03.420.933/0001-26</v>
          </cell>
          <cell r="J84">
            <v>45809</v>
          </cell>
          <cell r="L84">
            <v>1185.81</v>
          </cell>
        </row>
        <row r="85">
          <cell r="H85" t="str">
            <v>03.420.933/0001-26</v>
          </cell>
          <cell r="J85">
            <v>45809</v>
          </cell>
          <cell r="L85">
            <v>1442.27</v>
          </cell>
        </row>
        <row r="86">
          <cell r="H86" t="str">
            <v>03.420.933/0001-26</v>
          </cell>
          <cell r="J86">
            <v>45809</v>
          </cell>
          <cell r="L86">
            <v>4777.6400000000003</v>
          </cell>
        </row>
        <row r="87">
          <cell r="H87" t="str">
            <v>03.420.933/0001-26</v>
          </cell>
          <cell r="J87">
            <v>45809</v>
          </cell>
          <cell r="L87">
            <v>4777.6400000000003</v>
          </cell>
        </row>
        <row r="88">
          <cell r="H88" t="str">
            <v>03.420.933/0001-26</v>
          </cell>
          <cell r="J88">
            <v>45809</v>
          </cell>
          <cell r="L88">
            <v>5002.32</v>
          </cell>
        </row>
        <row r="89">
          <cell r="H89" t="str">
            <v>03.420.933/0001-26</v>
          </cell>
          <cell r="J89">
            <v>45809</v>
          </cell>
          <cell r="L89">
            <v>5002.32</v>
          </cell>
        </row>
        <row r="90">
          <cell r="H90" t="str">
            <v>03.420.933/0001-26</v>
          </cell>
          <cell r="J90">
            <v>45809</v>
          </cell>
          <cell r="L90">
            <v>5714.51</v>
          </cell>
        </row>
        <row r="91">
          <cell r="H91" t="str">
            <v>03.420.933/0001-26</v>
          </cell>
          <cell r="J91">
            <v>45809</v>
          </cell>
          <cell r="L91">
            <v>5714.51</v>
          </cell>
        </row>
        <row r="92">
          <cell r="H92" t="str">
            <v>27.467.105/0001-01</v>
          </cell>
          <cell r="J92">
            <v>45809</v>
          </cell>
          <cell r="L92">
            <v>25635.42</v>
          </cell>
        </row>
        <row r="93">
          <cell r="H93" t="str">
            <v>30.994.850/0001-13</v>
          </cell>
          <cell r="J93">
            <v>45809</v>
          </cell>
          <cell r="L93">
            <v>200000</v>
          </cell>
        </row>
        <row r="94">
          <cell r="H94" t="str">
            <v>30.994.850/0001-13</v>
          </cell>
          <cell r="J94">
            <v>45809</v>
          </cell>
          <cell r="L94">
            <v>303761.71999999997</v>
          </cell>
        </row>
        <row r="95">
          <cell r="H95" t="str">
            <v>24.525.971/0001-13</v>
          </cell>
          <cell r="J95">
            <v>45809</v>
          </cell>
          <cell r="L95">
            <v>8545.4500000000007</v>
          </cell>
        </row>
        <row r="96">
          <cell r="H96" t="str">
            <v>69.374.585/0001-06</v>
          </cell>
          <cell r="J96">
            <v>45809</v>
          </cell>
          <cell r="L96">
            <v>150080.79</v>
          </cell>
        </row>
        <row r="97">
          <cell r="H97" t="str">
            <v>03.420.933/0001-26</v>
          </cell>
          <cell r="J97">
            <v>45809</v>
          </cell>
          <cell r="L97">
            <v>1207.5999999999999</v>
          </cell>
        </row>
        <row r="98">
          <cell r="H98" t="str">
            <v>03.420.933/0001-26</v>
          </cell>
          <cell r="J98">
            <v>45809</v>
          </cell>
          <cell r="L98">
            <v>2070.1799999999998</v>
          </cell>
        </row>
        <row r="99">
          <cell r="H99" t="str">
            <v>03.420.933/0001-26</v>
          </cell>
          <cell r="J99">
            <v>45809</v>
          </cell>
          <cell r="L99">
            <v>2741.02</v>
          </cell>
        </row>
        <row r="100">
          <cell r="H100" t="str">
            <v>03.420.933/0001-26</v>
          </cell>
          <cell r="J100">
            <v>45809</v>
          </cell>
          <cell r="L100">
            <v>2813.9</v>
          </cell>
        </row>
        <row r="101">
          <cell r="H101" t="str">
            <v>03.420.933/0001-26</v>
          </cell>
          <cell r="J101">
            <v>45809</v>
          </cell>
          <cell r="L101">
            <v>2904.5</v>
          </cell>
        </row>
        <row r="102">
          <cell r="H102" t="str">
            <v>03.420.933/0001-26</v>
          </cell>
          <cell r="J102">
            <v>45809</v>
          </cell>
          <cell r="L102">
            <v>2904.5</v>
          </cell>
        </row>
        <row r="103">
          <cell r="H103" t="str">
            <v>03.420.933/0001-26</v>
          </cell>
          <cell r="J103">
            <v>45809</v>
          </cell>
          <cell r="L103">
            <v>2977.9</v>
          </cell>
        </row>
        <row r="104">
          <cell r="H104" t="str">
            <v>03.420.933/0001-26</v>
          </cell>
          <cell r="J104">
            <v>45809</v>
          </cell>
          <cell r="L104">
            <v>3870.07</v>
          </cell>
        </row>
        <row r="105">
          <cell r="H105" t="str">
            <v>03.420.933/0001-26</v>
          </cell>
          <cell r="J105">
            <v>45809</v>
          </cell>
          <cell r="L105">
            <v>4761.4799999999996</v>
          </cell>
        </row>
        <row r="106">
          <cell r="H106" t="str">
            <v>03.420.933/0001-26</v>
          </cell>
          <cell r="J106">
            <v>45809</v>
          </cell>
          <cell r="L106">
            <v>5577.08</v>
          </cell>
        </row>
        <row r="107">
          <cell r="H107" t="str">
            <v>03.420.933/0001-26</v>
          </cell>
          <cell r="J107">
            <v>45809</v>
          </cell>
          <cell r="L107">
            <v>9348.85</v>
          </cell>
        </row>
        <row r="108">
          <cell r="H108" t="str">
            <v>03.420.933/0001-26</v>
          </cell>
          <cell r="J108">
            <v>45809</v>
          </cell>
          <cell r="L108">
            <v>13192.58</v>
          </cell>
        </row>
        <row r="109">
          <cell r="H109" t="str">
            <v>03.420.933/0001-26</v>
          </cell>
          <cell r="J109">
            <v>45809</v>
          </cell>
          <cell r="L109">
            <v>24896.18</v>
          </cell>
        </row>
        <row r="110">
          <cell r="H110" t="str">
            <v>04.238.951/0001-54</v>
          </cell>
          <cell r="J110">
            <v>45809</v>
          </cell>
          <cell r="L110">
            <v>17500</v>
          </cell>
        </row>
        <row r="111">
          <cell r="H111" t="str">
            <v>04.238.951/0001-54</v>
          </cell>
          <cell r="J111">
            <v>45809</v>
          </cell>
          <cell r="L111">
            <v>19500</v>
          </cell>
        </row>
        <row r="112">
          <cell r="H112" t="str">
            <v>30.994.850/0001-13</v>
          </cell>
          <cell r="J112">
            <v>45809</v>
          </cell>
          <cell r="L112">
            <v>286138.40999999997</v>
          </cell>
        </row>
        <row r="113">
          <cell r="H113" t="str">
            <v>50.429.810/0001-36</v>
          </cell>
          <cell r="J113">
            <v>45809</v>
          </cell>
          <cell r="L113">
            <v>3192.96</v>
          </cell>
        </row>
        <row r="114">
          <cell r="H114" t="str">
            <v>24.525.971/0001-13</v>
          </cell>
          <cell r="J114">
            <v>45809</v>
          </cell>
          <cell r="L114">
            <v>34181.78</v>
          </cell>
        </row>
        <row r="115">
          <cell r="H115" t="str">
            <v>22.594.152/0001-00</v>
          </cell>
          <cell r="J115">
            <v>45809</v>
          </cell>
          <cell r="L115">
            <v>29820.66</v>
          </cell>
        </row>
        <row r="116">
          <cell r="H116" t="str">
            <v>03.420.933/0001-26</v>
          </cell>
          <cell r="J116">
            <v>45809</v>
          </cell>
          <cell r="L116">
            <v>22620</v>
          </cell>
        </row>
        <row r="117">
          <cell r="H117" t="str">
            <v>03.420.933/0001-26</v>
          </cell>
          <cell r="J117">
            <v>45809</v>
          </cell>
          <cell r="L117">
            <v>30292.69</v>
          </cell>
        </row>
        <row r="118">
          <cell r="H118" t="str">
            <v>24.525.971/0001-13</v>
          </cell>
          <cell r="J118">
            <v>45809</v>
          </cell>
          <cell r="L118">
            <v>42727.23</v>
          </cell>
        </row>
        <row r="119">
          <cell r="H119" t="str">
            <v>48.560.556/0001-69</v>
          </cell>
          <cell r="J119">
            <v>45809</v>
          </cell>
          <cell r="L119">
            <v>444.3</v>
          </cell>
        </row>
        <row r="120">
          <cell r="H120" t="str">
            <v>22.594.152/0001-00</v>
          </cell>
          <cell r="J120">
            <v>45809</v>
          </cell>
          <cell r="L120">
            <v>62325.3</v>
          </cell>
        </row>
        <row r="121">
          <cell r="H121" t="str">
            <v>16.383.848/0001-87</v>
          </cell>
          <cell r="J121">
            <v>45809</v>
          </cell>
          <cell r="L121">
            <v>39987.18</v>
          </cell>
        </row>
        <row r="122">
          <cell r="H122" t="str">
            <v>15.676.890/0001-23</v>
          </cell>
          <cell r="J122">
            <v>45809</v>
          </cell>
          <cell r="L122">
            <v>90850.65</v>
          </cell>
        </row>
        <row r="123">
          <cell r="H123" t="str">
            <v>61.350.460/0001-34</v>
          </cell>
          <cell r="J123">
            <v>45809</v>
          </cell>
          <cell r="L123">
            <v>10800</v>
          </cell>
        </row>
        <row r="124">
          <cell r="H124" t="str">
            <v>22.594.152/0001-00</v>
          </cell>
          <cell r="J124">
            <v>45809</v>
          </cell>
          <cell r="L124">
            <v>107374.65</v>
          </cell>
        </row>
        <row r="125">
          <cell r="H125" t="str">
            <v>41.657.526/0001-26</v>
          </cell>
          <cell r="J125">
            <v>45839</v>
          </cell>
          <cell r="L125">
            <v>7936</v>
          </cell>
        </row>
        <row r="126">
          <cell r="H126" t="str">
            <v>03.420.933/0001-26</v>
          </cell>
          <cell r="J126">
            <v>45839</v>
          </cell>
          <cell r="L126">
            <v>2001.98</v>
          </cell>
        </row>
        <row r="127">
          <cell r="H127" t="str">
            <v>03.420.933/0001-26</v>
          </cell>
          <cell r="J127">
            <v>45839</v>
          </cell>
          <cell r="L127">
            <v>5707.8</v>
          </cell>
        </row>
        <row r="128">
          <cell r="H128" t="str">
            <v>03.420.933/0001-26</v>
          </cell>
          <cell r="J128">
            <v>45839</v>
          </cell>
          <cell r="L128">
            <v>5944.68</v>
          </cell>
        </row>
        <row r="129">
          <cell r="H129" t="str">
            <v>02.130.122/0001-28</v>
          </cell>
          <cell r="J129">
            <v>45839</v>
          </cell>
          <cell r="L129">
            <v>1150</v>
          </cell>
        </row>
        <row r="130">
          <cell r="H130" t="str">
            <v>30.994.850/0001-13</v>
          </cell>
          <cell r="J130">
            <v>45839</v>
          </cell>
          <cell r="L130">
            <v>333851.55</v>
          </cell>
        </row>
        <row r="131">
          <cell r="H131" t="str">
            <v>22.594.152/0001-00</v>
          </cell>
          <cell r="J131">
            <v>45839</v>
          </cell>
          <cell r="L131">
            <v>100000</v>
          </cell>
        </row>
        <row r="132">
          <cell r="H132" t="str">
            <v>27.298.172/0001-40</v>
          </cell>
          <cell r="J132">
            <v>45839</v>
          </cell>
          <cell r="L132">
            <v>11920</v>
          </cell>
        </row>
        <row r="133">
          <cell r="H133" t="str">
            <v>27.298.172/0001-40</v>
          </cell>
          <cell r="J133">
            <v>45839</v>
          </cell>
          <cell r="L133">
            <v>71060</v>
          </cell>
        </row>
        <row r="134">
          <cell r="H134" t="str">
            <v>30.994.850/0001-13</v>
          </cell>
          <cell r="J134">
            <v>45839</v>
          </cell>
          <cell r="L134">
            <v>189935.26</v>
          </cell>
        </row>
        <row r="135">
          <cell r="H135" t="str">
            <v>03.420.933/0001-26</v>
          </cell>
          <cell r="J135">
            <v>45839</v>
          </cell>
          <cell r="L135">
            <v>10560.15</v>
          </cell>
        </row>
        <row r="136">
          <cell r="H136" t="str">
            <v>03.420.933/0001-26</v>
          </cell>
          <cell r="J136">
            <v>45839</v>
          </cell>
          <cell r="L136">
            <v>12697.5</v>
          </cell>
        </row>
        <row r="137">
          <cell r="H137" t="str">
            <v>03.420.933/0001-26</v>
          </cell>
          <cell r="J137">
            <v>45839</v>
          </cell>
          <cell r="L137">
            <v>12697.5</v>
          </cell>
        </row>
        <row r="138">
          <cell r="H138" t="str">
            <v>03.420.933/0001-26</v>
          </cell>
          <cell r="J138">
            <v>45839</v>
          </cell>
          <cell r="L138">
            <v>14657.5</v>
          </cell>
        </row>
        <row r="139">
          <cell r="H139" t="str">
            <v>04.238.951/0001-54</v>
          </cell>
          <cell r="J139">
            <v>45839</v>
          </cell>
          <cell r="L139">
            <v>19400</v>
          </cell>
        </row>
        <row r="140">
          <cell r="H140" t="str">
            <v>30.994.850/0001-13</v>
          </cell>
          <cell r="J140">
            <v>45839</v>
          </cell>
          <cell r="L140">
            <v>300000</v>
          </cell>
        </row>
        <row r="141">
          <cell r="H141" t="str">
            <v>33.921.755/0001-88</v>
          </cell>
          <cell r="J141">
            <v>45839</v>
          </cell>
          <cell r="L141">
            <v>4700</v>
          </cell>
        </row>
        <row r="142">
          <cell r="H142" t="str">
            <v>27.467.105/0001-01</v>
          </cell>
          <cell r="J142">
            <v>45839</v>
          </cell>
          <cell r="L142">
            <v>10342.56</v>
          </cell>
        </row>
        <row r="143">
          <cell r="H143" t="str">
            <v>27.467.105/0001-01</v>
          </cell>
          <cell r="J143">
            <v>45839</v>
          </cell>
          <cell r="L143">
            <v>21569.11</v>
          </cell>
        </row>
        <row r="144">
          <cell r="H144" t="str">
            <v>27.467.105/0001-01</v>
          </cell>
          <cell r="J144">
            <v>45839</v>
          </cell>
          <cell r="L144">
            <v>30497.31</v>
          </cell>
        </row>
        <row r="145">
          <cell r="H145" t="str">
            <v>22.594.152/0001-00</v>
          </cell>
          <cell r="J145">
            <v>45839</v>
          </cell>
          <cell r="L145">
            <v>50000</v>
          </cell>
        </row>
        <row r="146">
          <cell r="H146" t="str">
            <v>03.420.933/0001-26</v>
          </cell>
          <cell r="J146">
            <v>45839</v>
          </cell>
          <cell r="L146">
            <v>711.58</v>
          </cell>
        </row>
        <row r="147">
          <cell r="H147" t="str">
            <v>03.420.933/0001-26</v>
          </cell>
          <cell r="J147">
            <v>45839</v>
          </cell>
          <cell r="L147">
            <v>711.58</v>
          </cell>
        </row>
        <row r="148">
          <cell r="H148" t="str">
            <v>03.420.933/0001-26</v>
          </cell>
          <cell r="J148">
            <v>45839</v>
          </cell>
          <cell r="L148">
            <v>711.58</v>
          </cell>
        </row>
        <row r="149">
          <cell r="H149" t="str">
            <v>03.420.933/0001-26</v>
          </cell>
          <cell r="J149">
            <v>45839</v>
          </cell>
          <cell r="L149">
            <v>711.58</v>
          </cell>
        </row>
        <row r="150">
          <cell r="H150" t="str">
            <v>03.420.933/0001-26</v>
          </cell>
          <cell r="J150">
            <v>45839</v>
          </cell>
          <cell r="L150">
            <v>1000</v>
          </cell>
        </row>
        <row r="151">
          <cell r="H151" t="str">
            <v>03.420.933/0001-26</v>
          </cell>
          <cell r="J151">
            <v>45839</v>
          </cell>
          <cell r="L151">
            <v>1113.4000000000001</v>
          </cell>
        </row>
        <row r="152">
          <cell r="H152" t="str">
            <v>03.420.933/0001-26</v>
          </cell>
          <cell r="J152">
            <v>45839</v>
          </cell>
          <cell r="L152">
            <v>1113.4000000000001</v>
          </cell>
        </row>
        <row r="153">
          <cell r="H153" t="str">
            <v>03.420.933/0001-26</v>
          </cell>
          <cell r="J153">
            <v>45839</v>
          </cell>
          <cell r="L153">
            <v>1113.4000000000001</v>
          </cell>
        </row>
        <row r="154">
          <cell r="H154" t="str">
            <v>03.420.933/0001-26</v>
          </cell>
          <cell r="J154">
            <v>45839</v>
          </cell>
          <cell r="L154">
            <v>1113.4000000000001</v>
          </cell>
        </row>
        <row r="155">
          <cell r="H155" t="str">
            <v>03.420.933/0001-26</v>
          </cell>
          <cell r="J155">
            <v>45839</v>
          </cell>
          <cell r="L155">
            <v>1207.5999999999999</v>
          </cell>
        </row>
        <row r="156">
          <cell r="H156" t="str">
            <v>03.420.933/0001-26</v>
          </cell>
          <cell r="J156">
            <v>45839</v>
          </cell>
          <cell r="L156">
            <v>1207.5999999999999</v>
          </cell>
        </row>
        <row r="157">
          <cell r="H157" t="str">
            <v>03.420.933/0001-26</v>
          </cell>
          <cell r="J157">
            <v>45839</v>
          </cell>
          <cell r="L157">
            <v>1207.5999999999999</v>
          </cell>
        </row>
        <row r="158">
          <cell r="H158" t="str">
            <v>03.420.933/0001-26</v>
          </cell>
          <cell r="J158">
            <v>45839</v>
          </cell>
          <cell r="L158">
            <v>1207.5999999999999</v>
          </cell>
        </row>
        <row r="159">
          <cell r="H159" t="str">
            <v>03.420.933/0001-26</v>
          </cell>
          <cell r="J159">
            <v>45839</v>
          </cell>
          <cell r="L159">
            <v>1431.29</v>
          </cell>
        </row>
        <row r="160">
          <cell r="H160" t="str">
            <v>03.420.933/0001-26</v>
          </cell>
          <cell r="J160">
            <v>45839</v>
          </cell>
          <cell r="L160">
            <v>1832.83</v>
          </cell>
        </row>
        <row r="161">
          <cell r="H161" t="str">
            <v>03.420.933/0001-26</v>
          </cell>
          <cell r="J161">
            <v>45839</v>
          </cell>
          <cell r="L161">
            <v>1832.83</v>
          </cell>
        </row>
        <row r="162">
          <cell r="H162" t="str">
            <v>03.420.933/0001-26</v>
          </cell>
          <cell r="J162">
            <v>45839</v>
          </cell>
          <cell r="L162">
            <v>1832.83</v>
          </cell>
        </row>
        <row r="163">
          <cell r="H163" t="str">
            <v>03.420.933/0001-26</v>
          </cell>
          <cell r="J163">
            <v>45839</v>
          </cell>
          <cell r="L163">
            <v>1832.83</v>
          </cell>
        </row>
        <row r="164">
          <cell r="H164" t="str">
            <v>03.420.933/0001-26</v>
          </cell>
          <cell r="J164">
            <v>45839</v>
          </cell>
          <cell r="L164">
            <v>2069.33</v>
          </cell>
        </row>
        <row r="165">
          <cell r="H165" t="str">
            <v>03.420.933/0001-26</v>
          </cell>
          <cell r="J165">
            <v>45839</v>
          </cell>
          <cell r="L165">
            <v>2069.33</v>
          </cell>
        </row>
        <row r="166">
          <cell r="H166" t="str">
            <v>03.420.933/0001-26</v>
          </cell>
          <cell r="J166">
            <v>45839</v>
          </cell>
          <cell r="L166">
            <v>2069.33</v>
          </cell>
        </row>
        <row r="167">
          <cell r="H167" t="str">
            <v>03.420.933/0001-26</v>
          </cell>
          <cell r="J167">
            <v>45839</v>
          </cell>
          <cell r="L167">
            <v>2144</v>
          </cell>
        </row>
        <row r="168">
          <cell r="H168" t="str">
            <v>03.420.933/0001-26</v>
          </cell>
          <cell r="J168">
            <v>45839</v>
          </cell>
          <cell r="L168">
            <v>2144</v>
          </cell>
        </row>
        <row r="169">
          <cell r="H169" t="str">
            <v>03.420.933/0001-26</v>
          </cell>
          <cell r="J169">
            <v>45839</v>
          </cell>
          <cell r="L169">
            <v>2144</v>
          </cell>
        </row>
        <row r="170">
          <cell r="H170" t="str">
            <v>03.420.933/0001-26</v>
          </cell>
          <cell r="J170">
            <v>45839</v>
          </cell>
          <cell r="L170">
            <v>2453.02</v>
          </cell>
        </row>
        <row r="171">
          <cell r="H171" t="str">
            <v>03.420.933/0001-26</v>
          </cell>
          <cell r="J171">
            <v>45839</v>
          </cell>
          <cell r="L171">
            <v>2977.9</v>
          </cell>
        </row>
        <row r="172">
          <cell r="H172" t="str">
            <v>03.420.933/0001-26</v>
          </cell>
          <cell r="J172">
            <v>45839</v>
          </cell>
          <cell r="L172">
            <v>2977.9</v>
          </cell>
        </row>
        <row r="173">
          <cell r="H173" t="str">
            <v>03.420.933/0001-26</v>
          </cell>
          <cell r="J173">
            <v>45839</v>
          </cell>
          <cell r="L173">
            <v>2977.9</v>
          </cell>
        </row>
        <row r="174">
          <cell r="H174" t="str">
            <v>03.420.933/0001-26</v>
          </cell>
          <cell r="J174">
            <v>45839</v>
          </cell>
          <cell r="L174">
            <v>3919.88</v>
          </cell>
        </row>
        <row r="175">
          <cell r="H175" t="str">
            <v>03.420.933/0001-26</v>
          </cell>
          <cell r="J175">
            <v>45839</v>
          </cell>
          <cell r="L175">
            <v>3919.88</v>
          </cell>
        </row>
        <row r="176">
          <cell r="H176" t="str">
            <v>03.420.933/0001-26</v>
          </cell>
          <cell r="J176">
            <v>45839</v>
          </cell>
          <cell r="L176">
            <v>3919.88</v>
          </cell>
        </row>
        <row r="177">
          <cell r="H177" t="str">
            <v>03.420.933/0001-26</v>
          </cell>
          <cell r="J177">
            <v>45839</v>
          </cell>
          <cell r="L177">
            <v>3919.88</v>
          </cell>
        </row>
        <row r="178">
          <cell r="H178" t="str">
            <v>03.420.933/0001-26</v>
          </cell>
          <cell r="J178">
            <v>45839</v>
          </cell>
          <cell r="L178">
            <v>5339.73</v>
          </cell>
        </row>
        <row r="179">
          <cell r="H179" t="str">
            <v>03.420.933/0001-26</v>
          </cell>
          <cell r="J179">
            <v>45839</v>
          </cell>
          <cell r="L179">
            <v>5339.73</v>
          </cell>
        </row>
        <row r="180">
          <cell r="H180" t="str">
            <v>03.420.933/0001-26</v>
          </cell>
          <cell r="J180">
            <v>45839</v>
          </cell>
          <cell r="L180">
            <v>5339.73</v>
          </cell>
        </row>
        <row r="181">
          <cell r="H181" t="str">
            <v>03.420.933/0001-26</v>
          </cell>
          <cell r="J181">
            <v>45839</v>
          </cell>
          <cell r="L181">
            <v>5577.08</v>
          </cell>
        </row>
        <row r="182">
          <cell r="H182" t="str">
            <v>03.420.933/0001-26</v>
          </cell>
          <cell r="J182">
            <v>45839</v>
          </cell>
          <cell r="L182">
            <v>9288.5</v>
          </cell>
        </row>
        <row r="183">
          <cell r="H183" t="str">
            <v>03.420.933/0001-26</v>
          </cell>
          <cell r="J183">
            <v>45839</v>
          </cell>
          <cell r="L183">
            <v>9348.85</v>
          </cell>
        </row>
        <row r="184">
          <cell r="H184" t="str">
            <v>03.420.933/0001-26</v>
          </cell>
          <cell r="J184">
            <v>45839</v>
          </cell>
          <cell r="L184">
            <v>11079.58</v>
          </cell>
        </row>
        <row r="185">
          <cell r="H185" t="str">
            <v>03.420.933/0001-26</v>
          </cell>
          <cell r="J185">
            <v>45839</v>
          </cell>
          <cell r="L185">
            <v>11079.58</v>
          </cell>
        </row>
        <row r="186">
          <cell r="H186" t="str">
            <v>03.420.933/0001-26</v>
          </cell>
          <cell r="J186">
            <v>45839</v>
          </cell>
          <cell r="L186">
            <v>13192.58</v>
          </cell>
        </row>
        <row r="187">
          <cell r="H187" t="str">
            <v>03.420.933/0001-26</v>
          </cell>
          <cell r="J187">
            <v>45839</v>
          </cell>
          <cell r="L187">
            <v>13192.58</v>
          </cell>
        </row>
        <row r="188">
          <cell r="H188" t="str">
            <v>03.420.933/0001-26</v>
          </cell>
          <cell r="J188">
            <v>45839</v>
          </cell>
          <cell r="L188">
            <v>14112.6</v>
          </cell>
        </row>
        <row r="189">
          <cell r="H189" t="str">
            <v>03.420.933/0001-26</v>
          </cell>
          <cell r="J189">
            <v>45839</v>
          </cell>
          <cell r="L189">
            <v>24896.18</v>
          </cell>
        </row>
        <row r="190">
          <cell r="H190" t="str">
            <v>03.420.933/0001-26</v>
          </cell>
          <cell r="J190">
            <v>45839</v>
          </cell>
          <cell r="L190">
            <v>24896.18</v>
          </cell>
        </row>
        <row r="191">
          <cell r="H191" t="str">
            <v>03.420.933/0001-26</v>
          </cell>
          <cell r="J191">
            <v>45839</v>
          </cell>
          <cell r="L191">
            <v>24896.18</v>
          </cell>
        </row>
        <row r="192">
          <cell r="H192" t="str">
            <v>03.420.933/0001-26</v>
          </cell>
          <cell r="J192">
            <v>45839</v>
          </cell>
          <cell r="L192">
            <v>26324.55</v>
          </cell>
        </row>
        <row r="193">
          <cell r="H193" t="str">
            <v>16.383.848/0001-87</v>
          </cell>
          <cell r="J193">
            <v>45839</v>
          </cell>
          <cell r="L193">
            <v>39987.18</v>
          </cell>
        </row>
        <row r="194">
          <cell r="H194" t="str">
            <v>15.676.890/0001-23</v>
          </cell>
          <cell r="J194">
            <v>45839</v>
          </cell>
          <cell r="L194">
            <v>92738.55</v>
          </cell>
        </row>
        <row r="195">
          <cell r="H195" t="str">
            <v>22.594.152/0001-00</v>
          </cell>
          <cell r="J195">
            <v>45839</v>
          </cell>
          <cell r="L195">
            <v>50000</v>
          </cell>
        </row>
        <row r="196">
          <cell r="H196" t="str">
            <v>41.332.445/0001-56</v>
          </cell>
          <cell r="J196">
            <v>45839</v>
          </cell>
          <cell r="L196">
            <v>71000</v>
          </cell>
        </row>
        <row r="197">
          <cell r="H197" t="str">
            <v>03.420.933/0001-26</v>
          </cell>
          <cell r="J197">
            <v>45839</v>
          </cell>
          <cell r="L197">
            <v>2296.92</v>
          </cell>
        </row>
        <row r="198">
          <cell r="H198" t="str">
            <v>24.525.971/0001-13</v>
          </cell>
          <cell r="J198">
            <v>45839</v>
          </cell>
          <cell r="L198">
            <v>8712.52</v>
          </cell>
        </row>
        <row r="199">
          <cell r="H199" t="str">
            <v>24.525.971/0001-13</v>
          </cell>
          <cell r="J199">
            <v>45839</v>
          </cell>
          <cell r="L199">
            <v>34850.089999999997</v>
          </cell>
        </row>
        <row r="200">
          <cell r="H200" t="str">
            <v>24.525.971/0001-13</v>
          </cell>
          <cell r="J200">
            <v>45839</v>
          </cell>
          <cell r="L200">
            <v>43562.61</v>
          </cell>
        </row>
        <row r="201">
          <cell r="H201" t="str">
            <v>30.994.850/0001-13</v>
          </cell>
          <cell r="J201">
            <v>45839</v>
          </cell>
          <cell r="L201">
            <v>334000</v>
          </cell>
        </row>
        <row r="202">
          <cell r="H202" t="str">
            <v>30.994.850/0001-13</v>
          </cell>
          <cell r="J202">
            <v>45839</v>
          </cell>
          <cell r="L202">
            <v>300255.46000000002</v>
          </cell>
        </row>
        <row r="203">
          <cell r="H203" t="str">
            <v>16.383.848/0001-87</v>
          </cell>
          <cell r="J203">
            <v>45839</v>
          </cell>
          <cell r="L203">
            <v>39987.18</v>
          </cell>
        </row>
        <row r="204">
          <cell r="H204" t="str">
            <v>09.170.079/0001-73</v>
          </cell>
          <cell r="J204">
            <v>45839</v>
          </cell>
          <cell r="L204">
            <v>22276.400000000001</v>
          </cell>
        </row>
        <row r="205">
          <cell r="H205" t="str">
            <v>22.594.152/0001-00</v>
          </cell>
          <cell r="J205">
            <v>45870</v>
          </cell>
          <cell r="L205">
            <v>61358.05</v>
          </cell>
        </row>
        <row r="206">
          <cell r="H206" t="str">
            <v>22.594.152/0001-00</v>
          </cell>
          <cell r="J206">
            <v>45870</v>
          </cell>
          <cell r="L206">
            <v>36084.5</v>
          </cell>
        </row>
        <row r="207">
          <cell r="H207" t="str">
            <v>03.420.933/0001-26</v>
          </cell>
          <cell r="J207">
            <v>45870</v>
          </cell>
          <cell r="L207">
            <v>237.35</v>
          </cell>
        </row>
        <row r="208">
          <cell r="H208" t="str">
            <v>03.420.933/0001-26</v>
          </cell>
          <cell r="J208">
            <v>45870</v>
          </cell>
          <cell r="L208">
            <v>474.23</v>
          </cell>
        </row>
        <row r="209">
          <cell r="H209" t="str">
            <v>03.420.933/0001-26</v>
          </cell>
          <cell r="J209">
            <v>45870</v>
          </cell>
          <cell r="L209">
            <v>474.23</v>
          </cell>
        </row>
        <row r="210">
          <cell r="H210" t="str">
            <v>03.420.933/0001-26</v>
          </cell>
          <cell r="J210">
            <v>45870</v>
          </cell>
          <cell r="L210">
            <v>474.7</v>
          </cell>
        </row>
        <row r="211">
          <cell r="H211" t="str">
            <v>03.420.933/0001-26</v>
          </cell>
          <cell r="J211">
            <v>45870</v>
          </cell>
          <cell r="L211">
            <v>793.72</v>
          </cell>
        </row>
        <row r="212">
          <cell r="H212" t="str">
            <v>03.420.933/0001-26</v>
          </cell>
          <cell r="J212">
            <v>45870</v>
          </cell>
          <cell r="L212">
            <v>793.72</v>
          </cell>
        </row>
        <row r="213">
          <cell r="H213" t="str">
            <v>03.420.933/0001-26</v>
          </cell>
          <cell r="J213">
            <v>45870</v>
          </cell>
          <cell r="L213">
            <v>793.72</v>
          </cell>
        </row>
        <row r="214">
          <cell r="H214" t="str">
            <v>03.420.933/0001-26</v>
          </cell>
          <cell r="J214">
            <v>45870</v>
          </cell>
          <cell r="L214">
            <v>793.72</v>
          </cell>
        </row>
        <row r="215">
          <cell r="H215" t="str">
            <v>03.420.933/0001-26</v>
          </cell>
          <cell r="J215">
            <v>45870</v>
          </cell>
          <cell r="L215">
            <v>1423.63</v>
          </cell>
        </row>
        <row r="216">
          <cell r="H216" t="str">
            <v>03.420.933/0001-26</v>
          </cell>
          <cell r="J216">
            <v>45870</v>
          </cell>
          <cell r="L216">
            <v>1423.63</v>
          </cell>
        </row>
        <row r="217">
          <cell r="H217" t="str">
            <v>03.420.933/0001-26</v>
          </cell>
          <cell r="J217">
            <v>45870</v>
          </cell>
          <cell r="L217">
            <v>1423.63</v>
          </cell>
        </row>
        <row r="218">
          <cell r="H218" t="str">
            <v>03.420.933/0001-26</v>
          </cell>
          <cell r="J218">
            <v>45870</v>
          </cell>
          <cell r="L218">
            <v>1423.63</v>
          </cell>
        </row>
        <row r="219">
          <cell r="H219" t="str">
            <v>03.420.933/0001-26</v>
          </cell>
          <cell r="J219">
            <v>45870</v>
          </cell>
          <cell r="L219">
            <v>1442.27</v>
          </cell>
        </row>
        <row r="220">
          <cell r="H220" t="str">
            <v>03.420.933/0001-26</v>
          </cell>
          <cell r="J220">
            <v>45870</v>
          </cell>
          <cell r="L220">
            <v>1442.27</v>
          </cell>
        </row>
        <row r="221">
          <cell r="H221" t="str">
            <v>03.420.933/0001-26</v>
          </cell>
          <cell r="J221">
            <v>45870</v>
          </cell>
          <cell r="L221">
            <v>1442.27</v>
          </cell>
        </row>
        <row r="222">
          <cell r="H222" t="str">
            <v>03.420.933/0001-26</v>
          </cell>
          <cell r="J222">
            <v>45870</v>
          </cell>
          <cell r="L222">
            <v>1442.27</v>
          </cell>
        </row>
        <row r="223">
          <cell r="H223" t="str">
            <v>03.420.933/0001-26</v>
          </cell>
          <cell r="J223">
            <v>45870</v>
          </cell>
          <cell r="L223">
            <v>4761.4799999999996</v>
          </cell>
        </row>
        <row r="224">
          <cell r="H224" t="str">
            <v>03.420.933/0001-26</v>
          </cell>
          <cell r="J224">
            <v>45870</v>
          </cell>
          <cell r="L224">
            <v>4761.4799999999996</v>
          </cell>
        </row>
        <row r="225">
          <cell r="H225" t="str">
            <v>03.420.933/0001-26</v>
          </cell>
          <cell r="J225">
            <v>45870</v>
          </cell>
          <cell r="L225">
            <v>4761.4799999999996</v>
          </cell>
        </row>
        <row r="226">
          <cell r="H226" t="str">
            <v>03.420.933/0001-26</v>
          </cell>
          <cell r="J226">
            <v>45870</v>
          </cell>
          <cell r="L226">
            <v>4925.4799999999996</v>
          </cell>
        </row>
        <row r="227">
          <cell r="H227" t="str">
            <v>03.420.933/0001-26</v>
          </cell>
          <cell r="J227">
            <v>45870</v>
          </cell>
          <cell r="L227">
            <v>5835.02</v>
          </cell>
        </row>
        <row r="228">
          <cell r="H228" t="str">
            <v>03.420.933/0001-26</v>
          </cell>
          <cell r="J228">
            <v>45870</v>
          </cell>
          <cell r="L228">
            <v>5835.02</v>
          </cell>
        </row>
        <row r="229">
          <cell r="H229" t="str">
            <v>03.420.933/0001-26</v>
          </cell>
          <cell r="J229">
            <v>45870</v>
          </cell>
          <cell r="L229">
            <v>5835.02</v>
          </cell>
        </row>
        <row r="230">
          <cell r="H230" t="str">
            <v>03.420.933/0001-26</v>
          </cell>
          <cell r="J230">
            <v>45870</v>
          </cell>
          <cell r="L230">
            <v>5835.02</v>
          </cell>
        </row>
        <row r="231">
          <cell r="H231" t="str">
            <v>26.287.364/0001-98</v>
          </cell>
          <cell r="J231">
            <v>45870</v>
          </cell>
          <cell r="L231">
            <v>450807.5</v>
          </cell>
        </row>
        <row r="232">
          <cell r="H232" t="str">
            <v>07.945.667/0001-06</v>
          </cell>
          <cell r="J232">
            <v>45870</v>
          </cell>
          <cell r="L232">
            <v>6000</v>
          </cell>
        </row>
        <row r="233">
          <cell r="H233" t="str">
            <v>03.420.933/0001-26</v>
          </cell>
          <cell r="J233">
            <v>45870</v>
          </cell>
          <cell r="L233">
            <v>2001.98</v>
          </cell>
        </row>
        <row r="234">
          <cell r="H234" t="str">
            <v>03.420.933/0001-26</v>
          </cell>
          <cell r="J234">
            <v>45870</v>
          </cell>
          <cell r="L234">
            <v>2001.98</v>
          </cell>
        </row>
        <row r="235">
          <cell r="H235" t="str">
            <v>03.420.933/0001-26</v>
          </cell>
          <cell r="J235">
            <v>45870</v>
          </cell>
          <cell r="L235">
            <v>2001.98</v>
          </cell>
        </row>
        <row r="236">
          <cell r="H236" t="str">
            <v>03.420.933/0001-26</v>
          </cell>
          <cell r="J236">
            <v>45870</v>
          </cell>
          <cell r="L236">
            <v>2001.98</v>
          </cell>
        </row>
        <row r="237">
          <cell r="H237" t="str">
            <v>03.420.933/0001-26</v>
          </cell>
          <cell r="J237">
            <v>45870</v>
          </cell>
          <cell r="L237">
            <v>2001.98</v>
          </cell>
        </row>
        <row r="238">
          <cell r="H238" t="str">
            <v>03.420.933/0001-26</v>
          </cell>
          <cell r="J238">
            <v>45870</v>
          </cell>
          <cell r="L238">
            <v>2001.98</v>
          </cell>
        </row>
        <row r="239">
          <cell r="H239" t="str">
            <v>03.420.933/0001-26</v>
          </cell>
          <cell r="J239">
            <v>45870</v>
          </cell>
          <cell r="L239">
            <v>3573.59</v>
          </cell>
        </row>
        <row r="240">
          <cell r="H240" t="str">
            <v>03.420.933/0001-26</v>
          </cell>
          <cell r="J240">
            <v>45870</v>
          </cell>
          <cell r="L240">
            <v>3870.07</v>
          </cell>
        </row>
        <row r="241">
          <cell r="H241" t="str">
            <v>03.420.933/0001-26</v>
          </cell>
          <cell r="J241">
            <v>45870</v>
          </cell>
          <cell r="L241">
            <v>3870.07</v>
          </cell>
        </row>
        <row r="242">
          <cell r="H242" t="str">
            <v>03.420.933/0001-26</v>
          </cell>
          <cell r="J242">
            <v>45870</v>
          </cell>
          <cell r="L242">
            <v>3870.07</v>
          </cell>
        </row>
        <row r="243">
          <cell r="H243" t="str">
            <v>03.420.933/0001-26</v>
          </cell>
          <cell r="J243">
            <v>45870</v>
          </cell>
          <cell r="L243">
            <v>3870.07</v>
          </cell>
        </row>
        <row r="244">
          <cell r="H244" t="str">
            <v>03.420.933/0001-26</v>
          </cell>
          <cell r="J244">
            <v>45870</v>
          </cell>
          <cell r="L244">
            <v>3901.59</v>
          </cell>
        </row>
        <row r="245">
          <cell r="H245" t="str">
            <v>03.420.933/0001-26</v>
          </cell>
          <cell r="J245">
            <v>45870</v>
          </cell>
          <cell r="L245">
            <v>3931.59</v>
          </cell>
        </row>
        <row r="246">
          <cell r="H246" t="str">
            <v>03.420.933/0001-26</v>
          </cell>
          <cell r="J246">
            <v>45870</v>
          </cell>
          <cell r="L246">
            <v>3931.59</v>
          </cell>
        </row>
        <row r="247">
          <cell r="H247" t="str">
            <v>03.420.933/0001-26</v>
          </cell>
          <cell r="J247">
            <v>45870</v>
          </cell>
          <cell r="L247">
            <v>4891.3</v>
          </cell>
        </row>
        <row r="248">
          <cell r="H248" t="str">
            <v>03.420.933/0001-26</v>
          </cell>
          <cell r="J248">
            <v>45870</v>
          </cell>
          <cell r="L248">
            <v>5898.7</v>
          </cell>
        </row>
        <row r="249">
          <cell r="H249" t="str">
            <v>03.420.933/0001-26</v>
          </cell>
          <cell r="J249">
            <v>45870</v>
          </cell>
          <cell r="L249">
            <v>6075.7</v>
          </cell>
        </row>
        <row r="250">
          <cell r="H250" t="str">
            <v>03.420.933/0001-26</v>
          </cell>
          <cell r="J250">
            <v>45870</v>
          </cell>
          <cell r="L250">
            <v>13447.64</v>
          </cell>
        </row>
        <row r="251">
          <cell r="H251" t="str">
            <v>27.298.172/0001-40</v>
          </cell>
          <cell r="J251">
            <v>45870</v>
          </cell>
          <cell r="L251">
            <v>1460</v>
          </cell>
        </row>
        <row r="252">
          <cell r="H252" t="str">
            <v>27.298.172/0001-40</v>
          </cell>
          <cell r="J252">
            <v>45870</v>
          </cell>
          <cell r="L252">
            <v>11920</v>
          </cell>
        </row>
        <row r="253">
          <cell r="H253" t="str">
            <v>27.298.172/0001-40</v>
          </cell>
          <cell r="J253">
            <v>45870</v>
          </cell>
          <cell r="L253">
            <v>71060</v>
          </cell>
        </row>
        <row r="254">
          <cell r="H254" t="str">
            <v>30.994.850/0001-13</v>
          </cell>
          <cell r="J254">
            <v>45870</v>
          </cell>
          <cell r="L254">
            <v>300000</v>
          </cell>
        </row>
        <row r="255">
          <cell r="H255" t="str">
            <v>24.525.971/0001-13</v>
          </cell>
          <cell r="J255">
            <v>45870</v>
          </cell>
          <cell r="L255">
            <v>34496.28</v>
          </cell>
        </row>
        <row r="256">
          <cell r="H256" t="str">
            <v>22.456.063/0001-90</v>
          </cell>
          <cell r="J256">
            <v>45870</v>
          </cell>
          <cell r="L256">
            <v>74742.33</v>
          </cell>
        </row>
        <row r="257">
          <cell r="H257" t="str">
            <v>24.525.971/0001-13</v>
          </cell>
          <cell r="J257">
            <v>45870</v>
          </cell>
          <cell r="L257">
            <v>43120.35</v>
          </cell>
        </row>
        <row r="258">
          <cell r="H258" t="str">
            <v>30.994.850/0001-13</v>
          </cell>
          <cell r="J258">
            <v>45870</v>
          </cell>
          <cell r="L258">
            <v>300000</v>
          </cell>
        </row>
        <row r="259">
          <cell r="H259" t="str">
            <v>18.413.043/0001-64</v>
          </cell>
          <cell r="J259">
            <v>45870</v>
          </cell>
          <cell r="L259">
            <v>458883.78</v>
          </cell>
        </row>
        <row r="260">
          <cell r="H260" t="str">
            <v>69.374.585/0001-06</v>
          </cell>
          <cell r="J260">
            <v>45870</v>
          </cell>
          <cell r="L260">
            <v>559184.39</v>
          </cell>
        </row>
        <row r="261">
          <cell r="H261" t="str">
            <v>09.170.079/0001-73</v>
          </cell>
          <cell r="J261">
            <v>45870</v>
          </cell>
          <cell r="L261">
            <v>22276.400000000001</v>
          </cell>
        </row>
        <row r="262">
          <cell r="H262" t="str">
            <v>16.383.848/0001-87</v>
          </cell>
          <cell r="J262">
            <v>45870</v>
          </cell>
          <cell r="L262">
            <v>39987.18</v>
          </cell>
        </row>
        <row r="263">
          <cell r="H263" t="str">
            <v>15.676.890/0001-23</v>
          </cell>
          <cell r="J263">
            <v>45870</v>
          </cell>
          <cell r="L263">
            <v>88258.05</v>
          </cell>
        </row>
        <row r="264">
          <cell r="H264" t="str">
            <v>30.994.850/0001-13</v>
          </cell>
          <cell r="J264">
            <v>45870</v>
          </cell>
          <cell r="L264">
            <v>199691.14</v>
          </cell>
        </row>
        <row r="265">
          <cell r="H265" t="str">
            <v>30.994.850/0001-13</v>
          </cell>
          <cell r="J265">
            <v>45870</v>
          </cell>
          <cell r="L265">
            <v>214284.15</v>
          </cell>
        </row>
        <row r="266">
          <cell r="H266" t="str">
            <v>24.525.971/0001-13</v>
          </cell>
          <cell r="J266">
            <v>45870</v>
          </cell>
          <cell r="L266">
            <v>8624.07</v>
          </cell>
        </row>
        <row r="267">
          <cell r="H267" t="str">
            <v>30.994.850/0001-13</v>
          </cell>
          <cell r="J267">
            <v>45901</v>
          </cell>
          <cell r="L267">
            <v>111775.45</v>
          </cell>
        </row>
        <row r="268">
          <cell r="H268" t="str">
            <v>22.594.152/0001-00</v>
          </cell>
          <cell r="J268">
            <v>45901</v>
          </cell>
          <cell r="L268">
            <v>41250.230000000003</v>
          </cell>
        </row>
        <row r="269">
          <cell r="H269" t="str">
            <v>26.287.364/0001-98</v>
          </cell>
          <cell r="J269">
            <v>45901</v>
          </cell>
          <cell r="L269">
            <v>481281</v>
          </cell>
        </row>
        <row r="270">
          <cell r="H270" t="str">
            <v>30.994.850/0001-13</v>
          </cell>
          <cell r="J270">
            <v>45901</v>
          </cell>
          <cell r="L270">
            <v>300000</v>
          </cell>
        </row>
        <row r="271">
          <cell r="H271" t="str">
            <v>18.413.043/0001-64</v>
          </cell>
          <cell r="J271">
            <v>45901</v>
          </cell>
          <cell r="L271">
            <v>794906.89</v>
          </cell>
        </row>
        <row r="272">
          <cell r="H272" t="str">
            <v>41.332.445/0001-56</v>
          </cell>
          <cell r="J272">
            <v>45901</v>
          </cell>
          <cell r="L272">
            <v>71879.92</v>
          </cell>
        </row>
        <row r="273">
          <cell r="H273" t="str">
            <v>19.125.143/0001-58</v>
          </cell>
          <cell r="J273">
            <v>45901</v>
          </cell>
          <cell r="L273">
            <v>65000</v>
          </cell>
        </row>
        <row r="274">
          <cell r="H274" t="str">
            <v>33.921.755/0001-88</v>
          </cell>
          <cell r="J274">
            <v>45901</v>
          </cell>
          <cell r="L274">
            <v>4700</v>
          </cell>
        </row>
        <row r="275">
          <cell r="H275" t="str">
            <v>27.298.172/0001-40</v>
          </cell>
          <cell r="J275">
            <v>45901</v>
          </cell>
          <cell r="L275">
            <v>11920</v>
          </cell>
        </row>
        <row r="276">
          <cell r="H276" t="str">
            <v>27.298.172/0001-40</v>
          </cell>
          <cell r="J276">
            <v>45901</v>
          </cell>
          <cell r="L276">
            <v>71060</v>
          </cell>
        </row>
        <row r="277">
          <cell r="H277" t="str">
            <v>04.238.951/0001-54</v>
          </cell>
          <cell r="J277">
            <v>45901</v>
          </cell>
          <cell r="L277">
            <v>19500</v>
          </cell>
        </row>
        <row r="278">
          <cell r="H278" t="str">
            <v>24.525.971/0001-13</v>
          </cell>
          <cell r="J278">
            <v>45901</v>
          </cell>
          <cell r="L278">
            <v>33788.660000000003</v>
          </cell>
        </row>
        <row r="279">
          <cell r="H279" t="str">
            <v>15.676.890/0001-23</v>
          </cell>
          <cell r="J279">
            <v>45901</v>
          </cell>
          <cell r="L279">
            <v>91912.05</v>
          </cell>
        </row>
        <row r="280">
          <cell r="H280" t="str">
            <v>03.420.933/0001-26</v>
          </cell>
          <cell r="J280">
            <v>45901</v>
          </cell>
          <cell r="L280">
            <v>474.7</v>
          </cell>
        </row>
        <row r="281">
          <cell r="H281" t="str">
            <v>03.420.933/0001-26</v>
          </cell>
          <cell r="J281">
            <v>45901</v>
          </cell>
          <cell r="L281">
            <v>474.7</v>
          </cell>
        </row>
        <row r="282">
          <cell r="H282" t="str">
            <v>03.420.933/0001-26</v>
          </cell>
          <cell r="J282">
            <v>45901</v>
          </cell>
          <cell r="L282">
            <v>1052.58</v>
          </cell>
        </row>
        <row r="283">
          <cell r="H283" t="str">
            <v>03.420.933/0001-26</v>
          </cell>
          <cell r="J283">
            <v>45901</v>
          </cell>
          <cell r="L283">
            <v>1764.63</v>
          </cell>
        </row>
        <row r="284">
          <cell r="H284" t="str">
            <v>03.420.933/0001-26</v>
          </cell>
          <cell r="J284">
            <v>45901</v>
          </cell>
          <cell r="L284">
            <v>5828.27</v>
          </cell>
        </row>
        <row r="285">
          <cell r="H285" t="str">
            <v>03.420.933/0001-26</v>
          </cell>
          <cell r="J285">
            <v>45901</v>
          </cell>
          <cell r="L285">
            <v>6182.03</v>
          </cell>
        </row>
        <row r="286">
          <cell r="H286" t="str">
            <v>03.420.933/0001-26</v>
          </cell>
          <cell r="J286">
            <v>45901</v>
          </cell>
          <cell r="L286">
            <v>6359.03</v>
          </cell>
        </row>
        <row r="287">
          <cell r="H287" t="str">
            <v>03.420.933/0001-26</v>
          </cell>
          <cell r="J287">
            <v>45901</v>
          </cell>
          <cell r="L287">
            <v>6359.03</v>
          </cell>
        </row>
        <row r="288">
          <cell r="H288" t="str">
            <v>03.420.933/0001-26</v>
          </cell>
          <cell r="J288">
            <v>45901</v>
          </cell>
          <cell r="L288">
            <v>22620</v>
          </cell>
        </row>
        <row r="289">
          <cell r="H289" t="str">
            <v>03.420.933/0001-26</v>
          </cell>
          <cell r="J289">
            <v>45901</v>
          </cell>
          <cell r="L289">
            <v>22620</v>
          </cell>
        </row>
        <row r="290">
          <cell r="H290" t="str">
            <v>03.420.933/0001-26</v>
          </cell>
          <cell r="J290">
            <v>45901</v>
          </cell>
          <cell r="L290">
            <v>28547.24</v>
          </cell>
        </row>
        <row r="291">
          <cell r="H291" t="str">
            <v>03.420.933/0001-26</v>
          </cell>
          <cell r="J291">
            <v>45901</v>
          </cell>
          <cell r="L291">
            <v>28547.24</v>
          </cell>
        </row>
        <row r="292">
          <cell r="H292" t="str">
            <v>03.420.933/0001-26</v>
          </cell>
          <cell r="J292">
            <v>45901</v>
          </cell>
          <cell r="L292">
            <v>30292.69</v>
          </cell>
        </row>
        <row r="293">
          <cell r="H293" t="str">
            <v>02.130.122/0001-28</v>
          </cell>
          <cell r="J293">
            <v>45901</v>
          </cell>
          <cell r="L293">
            <v>1150</v>
          </cell>
        </row>
        <row r="294">
          <cell r="H294" t="str">
            <v>02.130.122/0001-28</v>
          </cell>
          <cell r="J294">
            <v>45901</v>
          </cell>
          <cell r="L294">
            <v>1150</v>
          </cell>
        </row>
        <row r="295">
          <cell r="H295" t="str">
            <v>02.130.122/0001-28</v>
          </cell>
          <cell r="J295">
            <v>45901</v>
          </cell>
          <cell r="L295">
            <v>1150</v>
          </cell>
        </row>
        <row r="296">
          <cell r="H296" t="str">
            <v>24.525.971/0001-13</v>
          </cell>
          <cell r="J296">
            <v>45901</v>
          </cell>
          <cell r="L296">
            <v>8447.17</v>
          </cell>
        </row>
        <row r="297">
          <cell r="H297" t="str">
            <v>24.525.971/0001-13</v>
          </cell>
          <cell r="J297">
            <v>45901</v>
          </cell>
          <cell r="L297">
            <v>42235.83</v>
          </cell>
        </row>
        <row r="298">
          <cell r="H298" t="str">
            <v>69.374.585/0001-06</v>
          </cell>
          <cell r="J298">
            <v>45901</v>
          </cell>
          <cell r="L298">
            <v>500000</v>
          </cell>
        </row>
        <row r="299">
          <cell r="H299" t="str">
            <v>16.383.848/0001-87</v>
          </cell>
          <cell r="J299">
            <v>45901</v>
          </cell>
          <cell r="L299">
            <v>39987.18</v>
          </cell>
        </row>
        <row r="300">
          <cell r="H300" t="str">
            <v>44.444.145/0001-57</v>
          </cell>
          <cell r="J300">
            <v>45901</v>
          </cell>
          <cell r="L300">
            <v>100000</v>
          </cell>
        </row>
        <row r="301">
          <cell r="H301" t="str">
            <v>03.420.933/0001-26</v>
          </cell>
          <cell r="J301">
            <v>45901</v>
          </cell>
          <cell r="L301">
            <v>5002.32</v>
          </cell>
        </row>
        <row r="302">
          <cell r="H302" t="str">
            <v>30.994.850/0001-13</v>
          </cell>
          <cell r="J302">
            <v>45901</v>
          </cell>
          <cell r="L302">
            <v>400000</v>
          </cell>
        </row>
        <row r="303">
          <cell r="H303" t="str">
            <v>22.594.152/0001-00</v>
          </cell>
          <cell r="J303">
            <v>45901</v>
          </cell>
          <cell r="L303">
            <v>20000</v>
          </cell>
        </row>
        <row r="304">
          <cell r="H304" t="str">
            <v>22.892.840/0001-49</v>
          </cell>
          <cell r="J304">
            <v>45901</v>
          </cell>
          <cell r="L304">
            <v>389072.53</v>
          </cell>
        </row>
        <row r="305">
          <cell r="H305" t="str">
            <v>30.994.850/0001-13</v>
          </cell>
          <cell r="J305">
            <v>45931</v>
          </cell>
          <cell r="L305">
            <v>250000</v>
          </cell>
        </row>
        <row r="306">
          <cell r="H306" t="str">
            <v>03.420.933/0001-26</v>
          </cell>
          <cell r="J306">
            <v>45931</v>
          </cell>
          <cell r="L306">
            <v>164.51</v>
          </cell>
        </row>
        <row r="307">
          <cell r="H307" t="str">
            <v>22.892.840/0001-49</v>
          </cell>
          <cell r="J307">
            <v>45931</v>
          </cell>
          <cell r="L307">
            <v>194438.87</v>
          </cell>
        </row>
        <row r="308">
          <cell r="H308" t="str">
            <v>22.892.840/0001-49</v>
          </cell>
          <cell r="J308">
            <v>45931</v>
          </cell>
          <cell r="L308">
            <v>218922.47</v>
          </cell>
        </row>
        <row r="309">
          <cell r="H309" t="str">
            <v>18.413.043/0001-64</v>
          </cell>
          <cell r="J309">
            <v>45931</v>
          </cell>
          <cell r="L309">
            <v>971923.64</v>
          </cell>
        </row>
        <row r="310">
          <cell r="H310" t="str">
            <v>40.039.126/0001-94</v>
          </cell>
          <cell r="J310">
            <v>45931</v>
          </cell>
          <cell r="L310">
            <v>1545390.99</v>
          </cell>
        </row>
        <row r="311">
          <cell r="H311" t="str">
            <v>69.374.585/0001-06</v>
          </cell>
          <cell r="J311">
            <v>45931</v>
          </cell>
          <cell r="L311">
            <v>500000</v>
          </cell>
        </row>
        <row r="312">
          <cell r="H312" t="str">
            <v>03.420.933/0001-26</v>
          </cell>
          <cell r="J312">
            <v>45931</v>
          </cell>
          <cell r="L312">
            <v>22620</v>
          </cell>
        </row>
        <row r="313">
          <cell r="H313" t="str">
            <v>44.444.145/0001-57</v>
          </cell>
          <cell r="J313">
            <v>45931</v>
          </cell>
          <cell r="L313">
            <v>84199.66</v>
          </cell>
        </row>
        <row r="314">
          <cell r="H314" t="str">
            <v>30.994.850/0001-13</v>
          </cell>
          <cell r="J314">
            <v>45931</v>
          </cell>
          <cell r="L314">
            <v>176900.09</v>
          </cell>
        </row>
        <row r="315">
          <cell r="H315" t="str">
            <v>30.994.850/0001-13</v>
          </cell>
          <cell r="J315">
            <v>45931</v>
          </cell>
          <cell r="L315">
            <v>295000</v>
          </cell>
        </row>
        <row r="316">
          <cell r="H316" t="str">
            <v>24.525.971/0001-13</v>
          </cell>
          <cell r="J316">
            <v>45931</v>
          </cell>
          <cell r="L316">
            <v>8732.18</v>
          </cell>
        </row>
        <row r="317">
          <cell r="H317" t="str">
            <v>03.420.933/0001-26</v>
          </cell>
          <cell r="J317">
            <v>45931</v>
          </cell>
          <cell r="L317">
            <v>1303.93</v>
          </cell>
        </row>
        <row r="318">
          <cell r="H318" t="str">
            <v>03.420.933/0001-26</v>
          </cell>
          <cell r="J318">
            <v>45931</v>
          </cell>
          <cell r="L318">
            <v>1540.81</v>
          </cell>
        </row>
        <row r="319">
          <cell r="H319" t="str">
            <v>03.420.933/0001-26</v>
          </cell>
          <cell r="J319">
            <v>45931</v>
          </cell>
          <cell r="L319">
            <v>5612.26</v>
          </cell>
        </row>
        <row r="320">
          <cell r="H320" t="str">
            <v>03.420.933/0001-26</v>
          </cell>
          <cell r="J320">
            <v>45931</v>
          </cell>
          <cell r="L320">
            <v>6351.14</v>
          </cell>
        </row>
        <row r="321">
          <cell r="H321" t="str">
            <v>03.420.933/0001-26</v>
          </cell>
          <cell r="J321">
            <v>45931</v>
          </cell>
          <cell r="L321">
            <v>23400</v>
          </cell>
        </row>
        <row r="322">
          <cell r="H322" t="str">
            <v>03.420.933/0001-26</v>
          </cell>
          <cell r="J322">
            <v>45931</v>
          </cell>
          <cell r="L322">
            <v>23400</v>
          </cell>
        </row>
        <row r="323">
          <cell r="H323" t="str">
            <v>03.420.933/0001-26</v>
          </cell>
          <cell r="J323">
            <v>45931</v>
          </cell>
          <cell r="L323">
            <v>28133.24</v>
          </cell>
        </row>
        <row r="324">
          <cell r="H324" t="str">
            <v>03.420.933/0001-26</v>
          </cell>
          <cell r="J324">
            <v>45931</v>
          </cell>
          <cell r="L324">
            <v>28547.24</v>
          </cell>
        </row>
        <row r="325">
          <cell r="H325" t="str">
            <v>24.525.971/0001-13</v>
          </cell>
          <cell r="J325">
            <v>45931</v>
          </cell>
          <cell r="L325">
            <v>34928.71</v>
          </cell>
        </row>
        <row r="326">
          <cell r="H326" t="str">
            <v>24.525.971/0001-13</v>
          </cell>
          <cell r="J326">
            <v>45931</v>
          </cell>
          <cell r="L326">
            <v>43660.89</v>
          </cell>
        </row>
        <row r="327">
          <cell r="H327" t="str">
            <v>22.594.152/0001-00</v>
          </cell>
          <cell r="J327">
            <v>45931</v>
          </cell>
          <cell r="L327">
            <v>21261.27</v>
          </cell>
        </row>
        <row r="328">
          <cell r="H328" t="str">
            <v>22.594.152/0001-00</v>
          </cell>
          <cell r="J328">
            <v>45931</v>
          </cell>
          <cell r="L328">
            <v>44669.42</v>
          </cell>
        </row>
        <row r="329">
          <cell r="H329" t="str">
            <v>33.921.755/0001-88</v>
          </cell>
          <cell r="J329">
            <v>45931</v>
          </cell>
          <cell r="L329">
            <v>4700</v>
          </cell>
        </row>
        <row r="330">
          <cell r="H330" t="str">
            <v>27.298.172/0001-40</v>
          </cell>
          <cell r="J330">
            <v>45931</v>
          </cell>
          <cell r="L330">
            <v>11920</v>
          </cell>
        </row>
        <row r="331">
          <cell r="H331" t="str">
            <v>27.298.172/0001-40</v>
          </cell>
          <cell r="J331">
            <v>45931</v>
          </cell>
          <cell r="L331">
            <v>71060</v>
          </cell>
        </row>
        <row r="332">
          <cell r="H332" t="str">
            <v>04.238.951/0001-54</v>
          </cell>
          <cell r="J332">
            <v>45931</v>
          </cell>
          <cell r="L332">
            <v>19500</v>
          </cell>
        </row>
        <row r="333">
          <cell r="H333" t="str">
            <v>16.383.848/0001-87</v>
          </cell>
          <cell r="J333">
            <v>45931</v>
          </cell>
          <cell r="L333">
            <v>39987.18</v>
          </cell>
        </row>
        <row r="334">
          <cell r="H334" t="str">
            <v>01.873.572/0001-48</v>
          </cell>
          <cell r="J334">
            <v>45931</v>
          </cell>
          <cell r="L334">
            <v>354317.57</v>
          </cell>
        </row>
        <row r="335">
          <cell r="H335" t="str">
            <v>41.657.526/0001-26</v>
          </cell>
          <cell r="J335">
            <v>45931</v>
          </cell>
          <cell r="L335">
            <v>4608</v>
          </cell>
        </row>
        <row r="336">
          <cell r="H336" t="str">
            <v>41.657.526/0001-26</v>
          </cell>
          <cell r="J336">
            <v>45931</v>
          </cell>
          <cell r="L336">
            <v>4224</v>
          </cell>
        </row>
        <row r="337">
          <cell r="H337" t="str">
            <v>18.413.043/0001-64</v>
          </cell>
          <cell r="J337">
            <v>45931</v>
          </cell>
          <cell r="L337">
            <v>158485.63</v>
          </cell>
        </row>
        <row r="338">
          <cell r="H338" t="str">
            <v>26.287.364/0001-98</v>
          </cell>
          <cell r="J338">
            <v>45931</v>
          </cell>
          <cell r="L338">
            <v>449649</v>
          </cell>
        </row>
        <row r="339">
          <cell r="H339" t="str">
            <v>30.994.850/0001-13</v>
          </cell>
          <cell r="J339">
            <v>45931</v>
          </cell>
          <cell r="L339">
            <v>185879.88</v>
          </cell>
        </row>
        <row r="340">
          <cell r="H340" t="str">
            <v>30.994.850/0001-13</v>
          </cell>
          <cell r="J340">
            <v>45931</v>
          </cell>
          <cell r="L340">
            <v>285888.17</v>
          </cell>
        </row>
        <row r="341">
          <cell r="H341" t="str">
            <v>15.676.890/0001-23</v>
          </cell>
          <cell r="J341">
            <v>45962</v>
          </cell>
          <cell r="L341">
            <v>95070.15</v>
          </cell>
        </row>
        <row r="342">
          <cell r="H342" t="str">
            <v>22.892.840/0001-49</v>
          </cell>
          <cell r="J342">
            <v>45962</v>
          </cell>
          <cell r="L342">
            <v>55417.95</v>
          </cell>
        </row>
        <row r="343">
          <cell r="H343" t="str">
            <v>22.892.840/0001-49</v>
          </cell>
          <cell r="J343">
            <v>45962</v>
          </cell>
          <cell r="L343">
            <v>165099.29</v>
          </cell>
        </row>
        <row r="344">
          <cell r="H344" t="str">
            <v>22.892.840/0001-49</v>
          </cell>
          <cell r="J344">
            <v>45962</v>
          </cell>
          <cell r="L344">
            <v>243653.21</v>
          </cell>
        </row>
        <row r="345">
          <cell r="H345" t="str">
            <v>22.892.840/0001-49</v>
          </cell>
          <cell r="J345">
            <v>45962</v>
          </cell>
          <cell r="L345">
            <v>248116.62</v>
          </cell>
        </row>
        <row r="346">
          <cell r="H346" t="str">
            <v>03.420.933/0001-26</v>
          </cell>
          <cell r="J346">
            <v>45962</v>
          </cell>
          <cell r="L346">
            <v>711.58</v>
          </cell>
        </row>
        <row r="347">
          <cell r="H347" t="str">
            <v>03.420.933/0001-26</v>
          </cell>
          <cell r="J347">
            <v>45962</v>
          </cell>
          <cell r="L347">
            <v>2847.26</v>
          </cell>
        </row>
        <row r="348">
          <cell r="H348" t="str">
            <v>03.420.933/0001-26</v>
          </cell>
          <cell r="J348">
            <v>45962</v>
          </cell>
          <cell r="L348">
            <v>14657.5</v>
          </cell>
        </row>
        <row r="349">
          <cell r="H349" t="str">
            <v>30.994.850/0001-13</v>
          </cell>
          <cell r="J349">
            <v>45962</v>
          </cell>
          <cell r="L349">
            <v>345029.93</v>
          </cell>
        </row>
        <row r="350">
          <cell r="H350" t="str">
            <v>69.374.585/0001-06</v>
          </cell>
          <cell r="J350">
            <v>45962</v>
          </cell>
          <cell r="L350">
            <v>250000</v>
          </cell>
        </row>
        <row r="351">
          <cell r="H351" t="str">
            <v>03.420.933/0001-26</v>
          </cell>
          <cell r="J351">
            <v>45962</v>
          </cell>
          <cell r="L351">
            <v>5938.84</v>
          </cell>
        </row>
        <row r="352">
          <cell r="H352" t="str">
            <v>03.420.933/0001-26</v>
          </cell>
          <cell r="J352">
            <v>45962</v>
          </cell>
          <cell r="L352">
            <v>23400</v>
          </cell>
        </row>
        <row r="353">
          <cell r="H353" t="str">
            <v>03.420.933/0001-26</v>
          </cell>
          <cell r="J353">
            <v>45962</v>
          </cell>
          <cell r="L353">
            <v>23400</v>
          </cell>
        </row>
        <row r="354">
          <cell r="H354" t="str">
            <v>03.420.933/0001-26</v>
          </cell>
          <cell r="J354">
            <v>45962</v>
          </cell>
          <cell r="L354">
            <v>23400</v>
          </cell>
        </row>
        <row r="355">
          <cell r="H355" t="str">
            <v>03.420.933/0001-26</v>
          </cell>
          <cell r="J355">
            <v>45962</v>
          </cell>
          <cell r="L355">
            <v>30810.3</v>
          </cell>
        </row>
        <row r="356">
          <cell r="H356" t="str">
            <v>03.420.933/0001-26</v>
          </cell>
          <cell r="J356">
            <v>45962</v>
          </cell>
          <cell r="L356">
            <v>31437.32</v>
          </cell>
        </row>
        <row r="357">
          <cell r="H357" t="str">
            <v>03.420.933/0001-26</v>
          </cell>
          <cell r="J357">
            <v>45962</v>
          </cell>
          <cell r="L357">
            <v>56336.36</v>
          </cell>
        </row>
        <row r="358">
          <cell r="H358" t="str">
            <v>02.130.122/0001-28</v>
          </cell>
          <cell r="J358">
            <v>45962</v>
          </cell>
          <cell r="L358">
            <v>1150</v>
          </cell>
        </row>
        <row r="359">
          <cell r="H359" t="str">
            <v>33.921.755/0001-88</v>
          </cell>
          <cell r="J359">
            <v>45962</v>
          </cell>
          <cell r="L359">
            <v>4700</v>
          </cell>
        </row>
        <row r="360">
          <cell r="H360" t="str">
            <v>04.238.951/0001-54</v>
          </cell>
          <cell r="J360">
            <v>45962</v>
          </cell>
          <cell r="L360">
            <v>20700</v>
          </cell>
        </row>
        <row r="361">
          <cell r="H361" t="str">
            <v>44.444.145/0001-57</v>
          </cell>
          <cell r="J361">
            <v>45962</v>
          </cell>
          <cell r="L361">
            <v>1648.8</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J1867"/>
  <sheetViews>
    <sheetView tabSelected="1" workbookViewId="0">
      <selection activeCell="B7" sqref="B7"/>
    </sheetView>
  </sheetViews>
  <sheetFormatPr defaultRowHeight="12.75"/>
  <cols>
    <col min="1" max="1" width="19" style="7" customWidth="1"/>
    <col min="2" max="2" width="37.42578125" style="7" customWidth="1"/>
    <col min="3" max="3" width="30.5703125" style="7" customWidth="1"/>
    <col min="4" max="4" width="28.140625" style="8" customWidth="1"/>
    <col min="5" max="5" width="36" style="7" customWidth="1"/>
    <col min="6" max="6" width="39.5703125" style="9" customWidth="1"/>
    <col min="7" max="7" width="26.28515625" style="10" customWidth="1"/>
    <col min="8" max="8" width="27.140625" style="10" customWidth="1"/>
    <col min="9" max="9" width="20.85546875" style="10" customWidth="1"/>
    <col min="10" max="10" width="21.140625" style="11" customWidth="1"/>
  </cols>
  <sheetData>
    <row r="1" spans="1:10" ht="81.75" thickBot="1">
      <c r="A1" s="1" t="s">
        <v>0</v>
      </c>
      <c r="B1" s="1" t="s">
        <v>1</v>
      </c>
      <c r="C1" s="1" t="s">
        <v>2</v>
      </c>
      <c r="D1" s="2" t="s">
        <v>3</v>
      </c>
      <c r="E1" s="1" t="s">
        <v>4</v>
      </c>
      <c r="F1" s="1" t="s">
        <v>5</v>
      </c>
      <c r="G1" s="3" t="s">
        <v>6</v>
      </c>
      <c r="H1" s="3" t="s">
        <v>7</v>
      </c>
      <c r="I1" s="3" t="s">
        <v>8</v>
      </c>
      <c r="J1" s="3" t="s">
        <v>9</v>
      </c>
    </row>
    <row r="2" spans="1:10" ht="13.5" thickBot="1">
      <c r="A2" s="15" t="str">
        <f>IF('[1]R-2010'!H2&lt;&gt;"","07974082000114","")</f>
        <v>07974082000114</v>
      </c>
      <c r="B2" s="15" t="str">
        <f>IF(A2&lt;&gt;"",A2,"")</f>
        <v>07974082000114</v>
      </c>
      <c r="C2" s="15" t="str">
        <f>IFERROR(TEXT(VALUE(SUBSTITUTE(SUBSTITUTE(SUBSTITUTE('[1]R-2010'!H2,".",""),"/",""),"-","")),"00000000000"),"")</f>
        <v>19125143000158</v>
      </c>
      <c r="D2" s="5">
        <f>IFERROR('[1]R-2010'!J2,"")</f>
        <v>45689</v>
      </c>
      <c r="E2" s="15" t="str">
        <f>""</f>
        <v/>
      </c>
      <c r="F2" s="15"/>
      <c r="G2" s="16">
        <f>IFERROR('[1]R-2010'!L2,"")</f>
        <v>998460.54</v>
      </c>
      <c r="H2" s="17">
        <f>IF(C2&lt;&gt;"",0,"")</f>
        <v>0</v>
      </c>
      <c r="I2" s="17">
        <f>IF(C2&lt;&gt;"",0,"")</f>
        <v>0</v>
      </c>
      <c r="J2" s="17">
        <f>IF(C2&lt;&gt;"",0,"")</f>
        <v>0</v>
      </c>
    </row>
    <row r="3" spans="1:10" ht="13.5" thickBot="1">
      <c r="A3" s="15" t="str">
        <f>IF('[1]R-2010'!H3&lt;&gt;"","07974082000114","")</f>
        <v>07974082000114</v>
      </c>
      <c r="B3" s="15" t="str">
        <f t="shared" ref="B3:B66" si="0">IF(A3&lt;&gt;"",A3,"")</f>
        <v>07974082000114</v>
      </c>
      <c r="C3" s="15" t="str">
        <f>IFERROR(TEXT(VALUE(SUBSTITUTE(SUBSTITUTE(SUBSTITUTE('[1]R-2010'!H3,".",""),"/",""),"-","")),"00000000000"),"")</f>
        <v>16383848000187</v>
      </c>
      <c r="D3" s="5">
        <f>IFERROR('[1]R-2010'!J3,"")</f>
        <v>45689</v>
      </c>
      <c r="E3" s="15" t="str">
        <f>""</f>
        <v/>
      </c>
      <c r="F3" s="15"/>
      <c r="G3" s="16">
        <f>IFERROR('[1]R-2010'!L3,"")</f>
        <v>39987.18</v>
      </c>
      <c r="H3" s="17">
        <f t="shared" ref="H3:H66" si="1">IF(C3&lt;&gt;"",0,"")</f>
        <v>0</v>
      </c>
      <c r="I3" s="17">
        <f t="shared" ref="I3:I66" si="2">IF(C3&lt;&gt;"",0,"")</f>
        <v>0</v>
      </c>
      <c r="J3" s="17">
        <f t="shared" ref="J3:J66" si="3">IF(C3&lt;&gt;"",0,"")</f>
        <v>0</v>
      </c>
    </row>
    <row r="4" spans="1:10" ht="13.5" thickBot="1">
      <c r="A4" s="15" t="str">
        <f>IF('[1]R-2010'!H4&lt;&gt;"","07974082000114","")</f>
        <v>07974082000114</v>
      </c>
      <c r="B4" s="15" t="str">
        <f t="shared" si="0"/>
        <v>07974082000114</v>
      </c>
      <c r="C4" s="15" t="str">
        <f>IFERROR(TEXT(VALUE(SUBSTITUTE(SUBSTITUTE(SUBSTITUTE('[1]R-2010'!H4,".",""),"/",""),"-","")),"00000000000"),"")</f>
        <v>2130122000128</v>
      </c>
      <c r="D4" s="5">
        <f>IFERROR('[1]R-2010'!J4,"")</f>
        <v>45689</v>
      </c>
      <c r="E4" s="15" t="str">
        <f>""</f>
        <v/>
      </c>
      <c r="F4" s="15"/>
      <c r="G4" s="16">
        <f>IFERROR('[1]R-2010'!L4,"")</f>
        <v>1150</v>
      </c>
      <c r="H4" s="17">
        <f t="shared" si="1"/>
        <v>0</v>
      </c>
      <c r="I4" s="17">
        <f t="shared" si="2"/>
        <v>0</v>
      </c>
      <c r="J4" s="17">
        <f t="shared" si="3"/>
        <v>0</v>
      </c>
    </row>
    <row r="5" spans="1:10" ht="13.5" thickBot="1">
      <c r="A5" s="15" t="str">
        <f>IF('[1]R-2010'!H5&lt;&gt;"","07974082000114","")</f>
        <v>07974082000114</v>
      </c>
      <c r="B5" s="15" t="str">
        <f t="shared" si="0"/>
        <v>07974082000114</v>
      </c>
      <c r="C5" s="15" t="str">
        <f>IFERROR(TEXT(VALUE(SUBSTITUTE(SUBSTITUTE(SUBSTITUTE('[1]R-2010'!H5,".",""),"/",""),"-","")),"00000000000"),"")</f>
        <v>24525971000113</v>
      </c>
      <c r="D5" s="5">
        <f>IFERROR('[1]R-2010'!J5,"")</f>
        <v>45689</v>
      </c>
      <c r="E5" s="15" t="str">
        <f>""</f>
        <v/>
      </c>
      <c r="F5" s="15"/>
      <c r="G5" s="16">
        <f>IFERROR('[1]R-2010'!L5,"")</f>
        <v>7880.06</v>
      </c>
      <c r="H5" s="17">
        <f t="shared" si="1"/>
        <v>0</v>
      </c>
      <c r="I5" s="17">
        <f t="shared" si="2"/>
        <v>0</v>
      </c>
      <c r="J5" s="17">
        <f t="shared" si="3"/>
        <v>0</v>
      </c>
    </row>
    <row r="6" spans="1:10" ht="13.5" thickBot="1">
      <c r="A6" s="15" t="str">
        <f>IF('[1]R-2010'!H6&lt;&gt;"","07974082000114","")</f>
        <v>07974082000114</v>
      </c>
      <c r="B6" s="15" t="str">
        <f t="shared" si="0"/>
        <v>07974082000114</v>
      </c>
      <c r="C6" s="15" t="str">
        <f>IFERROR(TEXT(VALUE(SUBSTITUTE(SUBSTITUTE(SUBSTITUTE('[1]R-2010'!H6,".",""),"/",""),"-","")),"00000000000"),"")</f>
        <v>24525971000113</v>
      </c>
      <c r="D6" s="5">
        <f>IFERROR('[1]R-2010'!J6,"")</f>
        <v>45689</v>
      </c>
      <c r="E6" s="15" t="str">
        <f>""</f>
        <v/>
      </c>
      <c r="F6" s="15"/>
      <c r="G6" s="16">
        <f>IFERROR('[1]R-2010'!L6,"")</f>
        <v>31520.36</v>
      </c>
      <c r="H6" s="17">
        <f t="shared" si="1"/>
        <v>0</v>
      </c>
      <c r="I6" s="17">
        <f t="shared" si="2"/>
        <v>0</v>
      </c>
      <c r="J6" s="17">
        <f t="shared" si="3"/>
        <v>0</v>
      </c>
    </row>
    <row r="7" spans="1:10" ht="13.5" thickBot="1">
      <c r="A7" s="15" t="str">
        <f>IF('[1]R-2010'!H7&lt;&gt;"","07974082000114","")</f>
        <v>07974082000114</v>
      </c>
      <c r="B7" s="15" t="str">
        <f t="shared" si="0"/>
        <v>07974082000114</v>
      </c>
      <c r="C7" s="15" t="str">
        <f>IFERROR(TEXT(VALUE(SUBSTITUTE(SUBSTITUTE(SUBSTITUTE('[1]R-2010'!H7,".",""),"/",""),"-","")),"00000000000"),"")</f>
        <v>24525971000113</v>
      </c>
      <c r="D7" s="5">
        <f>IFERROR('[1]R-2010'!J7,"")</f>
        <v>45689</v>
      </c>
      <c r="E7" s="15" t="str">
        <f>""</f>
        <v/>
      </c>
      <c r="F7" s="15"/>
      <c r="G7" s="16">
        <f>IFERROR('[1]R-2010'!L7,"")</f>
        <v>39400.449999999997</v>
      </c>
      <c r="H7" s="17">
        <f t="shared" si="1"/>
        <v>0</v>
      </c>
      <c r="I7" s="17">
        <f t="shared" si="2"/>
        <v>0</v>
      </c>
      <c r="J7" s="17">
        <f t="shared" si="3"/>
        <v>0</v>
      </c>
    </row>
    <row r="8" spans="1:10" ht="13.5" thickBot="1">
      <c r="A8" s="15" t="str">
        <f>IF('[1]R-2010'!H8&lt;&gt;"","07974082000114","")</f>
        <v>07974082000114</v>
      </c>
      <c r="B8" s="15" t="str">
        <f t="shared" si="0"/>
        <v>07974082000114</v>
      </c>
      <c r="C8" s="15" t="str">
        <f>IFERROR(TEXT(VALUE(SUBSTITUTE(SUBSTITUTE(SUBSTITUTE('[1]R-2010'!H8,".",""),"/",""),"-","")),"00000000000"),"")</f>
        <v>15676890000123</v>
      </c>
      <c r="D8" s="5">
        <f>IFERROR('[1]R-2010'!J8,"")</f>
        <v>45689</v>
      </c>
      <c r="E8" s="15" t="str">
        <f>""</f>
        <v/>
      </c>
      <c r="F8" s="15"/>
      <c r="G8" s="16">
        <f>IFERROR('[1]R-2010'!L8,"")</f>
        <v>85839.45</v>
      </c>
      <c r="H8" s="17">
        <f t="shared" si="1"/>
        <v>0</v>
      </c>
      <c r="I8" s="17">
        <f t="shared" si="2"/>
        <v>0</v>
      </c>
      <c r="J8" s="17">
        <f t="shared" si="3"/>
        <v>0</v>
      </c>
    </row>
    <row r="9" spans="1:10" ht="13.5" thickBot="1">
      <c r="A9" s="15" t="str">
        <f>IF('[1]R-2010'!H9&lt;&gt;"","07974082000114","")</f>
        <v>07974082000114</v>
      </c>
      <c r="B9" s="15" t="str">
        <f t="shared" si="0"/>
        <v>07974082000114</v>
      </c>
      <c r="C9" s="15" t="str">
        <f>IFERROR(TEXT(VALUE(SUBSTITUTE(SUBSTITUTE(SUBSTITUTE('[1]R-2010'!H9,".",""),"/",""),"-","")),"00000000000"),"")</f>
        <v>27467105000101</v>
      </c>
      <c r="D9" s="5">
        <f>IFERROR('[1]R-2010'!J9,"")</f>
        <v>45689</v>
      </c>
      <c r="E9" s="15" t="str">
        <f>""</f>
        <v/>
      </c>
      <c r="F9" s="15"/>
      <c r="G9" s="16">
        <f>IFERROR('[1]R-2010'!L9,"")</f>
        <v>22099.5</v>
      </c>
      <c r="H9" s="17">
        <f t="shared" si="1"/>
        <v>0</v>
      </c>
      <c r="I9" s="17">
        <f t="shared" si="2"/>
        <v>0</v>
      </c>
      <c r="J9" s="17">
        <f t="shared" si="3"/>
        <v>0</v>
      </c>
    </row>
    <row r="10" spans="1:10" ht="13.5" thickBot="1">
      <c r="A10" s="15" t="str">
        <f>IF('[1]R-2010'!H10&lt;&gt;"","07974082000114","")</f>
        <v>07974082000114</v>
      </c>
      <c r="B10" s="15" t="str">
        <f t="shared" si="0"/>
        <v>07974082000114</v>
      </c>
      <c r="C10" s="15" t="str">
        <f>IFERROR(TEXT(VALUE(SUBSTITUTE(SUBSTITUTE(SUBSTITUTE('[1]R-2010'!H10,".",""),"/",""),"-","")),"00000000000"),"")</f>
        <v>41332445000156</v>
      </c>
      <c r="D10" s="5">
        <f>IFERROR('[1]R-2010'!J10,"")</f>
        <v>45689</v>
      </c>
      <c r="E10" s="15" t="str">
        <f>""</f>
        <v/>
      </c>
      <c r="F10" s="15"/>
      <c r="G10" s="16">
        <f>IFERROR('[1]R-2010'!L10,"")</f>
        <v>454417.72</v>
      </c>
      <c r="H10" s="17">
        <f t="shared" si="1"/>
        <v>0</v>
      </c>
      <c r="I10" s="17">
        <f t="shared" si="2"/>
        <v>0</v>
      </c>
      <c r="J10" s="17">
        <f t="shared" si="3"/>
        <v>0</v>
      </c>
    </row>
    <row r="11" spans="1:10" ht="13.5" thickBot="1">
      <c r="A11" s="15" t="str">
        <f>IF('[1]R-2010'!H11&lt;&gt;"","07974082000114","")</f>
        <v>07974082000114</v>
      </c>
      <c r="B11" s="15" t="str">
        <f t="shared" si="0"/>
        <v>07974082000114</v>
      </c>
      <c r="C11" s="15" t="str">
        <f>IFERROR(TEXT(VALUE(SUBSTITUTE(SUBSTITUTE(SUBSTITUTE('[1]R-2010'!H11,".",""),"/",""),"-","")),"00000000000"),"")</f>
        <v>40039126000194</v>
      </c>
      <c r="D11" s="5">
        <f>IFERROR('[1]R-2010'!J11,"")</f>
        <v>45689</v>
      </c>
      <c r="E11" s="15" t="str">
        <f>""</f>
        <v/>
      </c>
      <c r="F11" s="15"/>
      <c r="G11" s="16">
        <f>IFERROR('[1]R-2010'!L11,"")</f>
        <v>2795391.26</v>
      </c>
      <c r="H11" s="17">
        <f t="shared" si="1"/>
        <v>0</v>
      </c>
      <c r="I11" s="17">
        <f t="shared" si="2"/>
        <v>0</v>
      </c>
      <c r="J11" s="17">
        <f t="shared" si="3"/>
        <v>0</v>
      </c>
    </row>
    <row r="12" spans="1:10" ht="13.5" thickBot="1">
      <c r="A12" s="15" t="str">
        <f>IF('[1]R-2010'!H12&lt;&gt;"","07974082000114","")</f>
        <v>07974082000114</v>
      </c>
      <c r="B12" s="15" t="str">
        <f>IF(A12&lt;&gt;"",A12,"")</f>
        <v>07974082000114</v>
      </c>
      <c r="C12" s="15" t="str">
        <f>IFERROR(TEXT(VALUE(SUBSTITUTE(SUBSTITUTE(SUBSTITUTE('[1]R-2010'!H12,".",""),"/",""),"-","")),"00000000000"),"")</f>
        <v>19125143000158</v>
      </c>
      <c r="D12" s="5">
        <f>IFERROR('[1]R-2010'!J12,"")</f>
        <v>45717</v>
      </c>
      <c r="E12" s="15" t="str">
        <f>""</f>
        <v/>
      </c>
      <c r="F12" s="15"/>
      <c r="G12" s="16">
        <f>IFERROR('[1]R-2010'!L12,"")</f>
        <v>447953.65</v>
      </c>
      <c r="H12" s="17">
        <f t="shared" si="1"/>
        <v>0</v>
      </c>
      <c r="I12" s="17">
        <f t="shared" si="2"/>
        <v>0</v>
      </c>
      <c r="J12" s="17">
        <f t="shared" si="3"/>
        <v>0</v>
      </c>
    </row>
    <row r="13" spans="1:10" ht="13.5" thickBot="1">
      <c r="A13" s="15" t="str">
        <f>IF('[1]R-2010'!H13&lt;&gt;"","07974082000114","")</f>
        <v>07974082000114</v>
      </c>
      <c r="B13" s="15" t="str">
        <f t="shared" si="0"/>
        <v>07974082000114</v>
      </c>
      <c r="C13" s="15" t="str">
        <f>IFERROR(TEXT(VALUE(SUBSTITUTE(SUBSTITUTE(SUBSTITUTE('[1]R-2010'!H13,".",""),"/",""),"-","")),"00000000000"),"")</f>
        <v>22594152000100</v>
      </c>
      <c r="D13" s="5">
        <f>IFERROR('[1]R-2010'!J13,"")</f>
        <v>45717</v>
      </c>
      <c r="E13" s="15" t="str">
        <f>""</f>
        <v/>
      </c>
      <c r="F13" s="15"/>
      <c r="G13" s="16">
        <f>IFERROR('[1]R-2010'!L13,"")</f>
        <v>67850</v>
      </c>
      <c r="H13" s="17">
        <f t="shared" si="1"/>
        <v>0</v>
      </c>
      <c r="I13" s="17">
        <f t="shared" si="2"/>
        <v>0</v>
      </c>
      <c r="J13" s="17">
        <f t="shared" si="3"/>
        <v>0</v>
      </c>
    </row>
    <row r="14" spans="1:10" ht="13.5" thickBot="1">
      <c r="A14" s="15" t="str">
        <f>IF('[1]R-2010'!H14&lt;&gt;"","07974082000114","")</f>
        <v>07974082000114</v>
      </c>
      <c r="B14" s="15" t="str">
        <f t="shared" si="0"/>
        <v>07974082000114</v>
      </c>
      <c r="C14" s="15" t="str">
        <f>IFERROR(TEXT(VALUE(SUBSTITUTE(SUBSTITUTE(SUBSTITUTE('[1]R-2010'!H14,".",""),"/",""),"-","")),"00000000000"),"")</f>
        <v>2130122000128</v>
      </c>
      <c r="D14" s="5">
        <f>IFERROR('[1]R-2010'!J14,"")</f>
        <v>45717</v>
      </c>
      <c r="E14" s="15" t="str">
        <f>""</f>
        <v/>
      </c>
      <c r="F14" s="15"/>
      <c r="G14" s="16">
        <f>IFERROR('[1]R-2010'!L14,"")</f>
        <v>1150</v>
      </c>
      <c r="H14" s="17">
        <f t="shared" si="1"/>
        <v>0</v>
      </c>
      <c r="I14" s="17">
        <f t="shared" si="2"/>
        <v>0</v>
      </c>
      <c r="J14" s="17">
        <f t="shared" si="3"/>
        <v>0</v>
      </c>
    </row>
    <row r="15" spans="1:10" ht="13.5" thickBot="1">
      <c r="A15" s="15" t="str">
        <f>IF('[1]R-2010'!H15&lt;&gt;"","07974082000114","")</f>
        <v>07974082000114</v>
      </c>
      <c r="B15" s="15" t="str">
        <f t="shared" si="0"/>
        <v>07974082000114</v>
      </c>
      <c r="C15" s="15" t="str">
        <f>IFERROR(TEXT(VALUE(SUBSTITUTE(SUBSTITUTE(SUBSTITUTE('[1]R-2010'!H15,".",""),"/",""),"-","")),"00000000000"),"")</f>
        <v>16383848000187</v>
      </c>
      <c r="D15" s="5">
        <f>IFERROR('[1]R-2010'!J15,"")</f>
        <v>45717</v>
      </c>
      <c r="E15" s="15" t="str">
        <f>""</f>
        <v/>
      </c>
      <c r="F15" s="15"/>
      <c r="G15" s="16">
        <f>IFERROR('[1]R-2010'!L15,"")</f>
        <v>39987.18</v>
      </c>
      <c r="H15" s="17">
        <f t="shared" si="1"/>
        <v>0</v>
      </c>
      <c r="I15" s="17">
        <f t="shared" si="2"/>
        <v>0</v>
      </c>
      <c r="J15" s="17">
        <f t="shared" si="3"/>
        <v>0</v>
      </c>
    </row>
    <row r="16" spans="1:10" ht="13.5" thickBot="1">
      <c r="A16" s="15" t="str">
        <f>IF('[1]R-2010'!H16&lt;&gt;"","07974082000114","")</f>
        <v>07974082000114</v>
      </c>
      <c r="B16" s="15" t="str">
        <f t="shared" si="0"/>
        <v>07974082000114</v>
      </c>
      <c r="C16" s="15" t="str">
        <f>IFERROR(TEXT(VALUE(SUBSTITUTE(SUBSTITUTE(SUBSTITUTE('[1]R-2010'!H16,".",""),"/",""),"-","")),"00000000000"),"")</f>
        <v>15676890000123</v>
      </c>
      <c r="D16" s="5">
        <f>IFERROR('[1]R-2010'!J16,"")</f>
        <v>45717</v>
      </c>
      <c r="E16" s="15" t="str">
        <f>""</f>
        <v/>
      </c>
      <c r="F16" s="15"/>
      <c r="G16" s="16">
        <f>IFERROR('[1]R-2010'!L16,"")</f>
        <v>91546.65</v>
      </c>
      <c r="H16" s="17">
        <f t="shared" si="1"/>
        <v>0</v>
      </c>
      <c r="I16" s="17">
        <f t="shared" si="2"/>
        <v>0</v>
      </c>
      <c r="J16" s="17">
        <f t="shared" si="3"/>
        <v>0</v>
      </c>
    </row>
    <row r="17" spans="1:10" ht="13.5" thickBot="1">
      <c r="A17" s="15" t="str">
        <f>IF('[1]R-2010'!H17&lt;&gt;"","07974082000114","")</f>
        <v>07974082000114</v>
      </c>
      <c r="B17" s="15" t="str">
        <f t="shared" si="0"/>
        <v>07974082000114</v>
      </c>
      <c r="C17" s="15" t="str">
        <f>IFERROR(TEXT(VALUE(SUBSTITUTE(SUBSTITUTE(SUBSTITUTE('[1]R-2010'!H17,".",""),"/",""),"-","")),"00000000000"),"")</f>
        <v>24525971000113</v>
      </c>
      <c r="D17" s="5">
        <f>IFERROR('[1]R-2010'!J17,"")</f>
        <v>45717</v>
      </c>
      <c r="E17" s="15" t="str">
        <f>""</f>
        <v/>
      </c>
      <c r="F17" s="15"/>
      <c r="G17" s="16">
        <f>IFERROR('[1]R-2010'!L17,"")</f>
        <v>8900.01</v>
      </c>
      <c r="H17" s="17">
        <f t="shared" si="1"/>
        <v>0</v>
      </c>
      <c r="I17" s="17">
        <f t="shared" si="2"/>
        <v>0</v>
      </c>
      <c r="J17" s="17">
        <f t="shared" si="3"/>
        <v>0</v>
      </c>
    </row>
    <row r="18" spans="1:10" ht="13.5" thickBot="1">
      <c r="A18" s="15" t="str">
        <f>IF('[1]R-2010'!H18&lt;&gt;"","07974082000114","")</f>
        <v>07974082000114</v>
      </c>
      <c r="B18" s="15" t="str">
        <f t="shared" si="0"/>
        <v>07974082000114</v>
      </c>
      <c r="C18" s="15" t="str">
        <f>IFERROR(TEXT(VALUE(SUBSTITUTE(SUBSTITUTE(SUBSTITUTE('[1]R-2010'!H18,".",""),"/",""),"-","")),"00000000000"),"")</f>
        <v>24525971000113</v>
      </c>
      <c r="D18" s="5">
        <f>IFERROR('[1]R-2010'!J18,"")</f>
        <v>45717</v>
      </c>
      <c r="E18" s="15" t="str">
        <f>""</f>
        <v/>
      </c>
      <c r="F18" s="15"/>
      <c r="G18" s="16">
        <f>IFERROR('[1]R-2010'!L18,"")</f>
        <v>35600.160000000003</v>
      </c>
      <c r="H18" s="17">
        <f t="shared" si="1"/>
        <v>0</v>
      </c>
      <c r="I18" s="17">
        <f t="shared" si="2"/>
        <v>0</v>
      </c>
      <c r="J18" s="17">
        <f t="shared" si="3"/>
        <v>0</v>
      </c>
    </row>
    <row r="19" spans="1:10" ht="13.5" thickBot="1">
      <c r="A19" s="15" t="str">
        <f>IF('[1]R-2010'!H19&lt;&gt;"","07974082000114","")</f>
        <v>07974082000114</v>
      </c>
      <c r="B19" s="15" t="str">
        <f t="shared" si="0"/>
        <v>07974082000114</v>
      </c>
      <c r="C19" s="15" t="str">
        <f>IFERROR(TEXT(VALUE(SUBSTITUTE(SUBSTITUTE(SUBSTITUTE('[1]R-2010'!H19,".",""),"/",""),"-","")),"00000000000"),"")</f>
        <v>24525971000113</v>
      </c>
      <c r="D19" s="5">
        <f>IFERROR('[1]R-2010'!J19,"")</f>
        <v>45717</v>
      </c>
      <c r="E19" s="15" t="str">
        <f>""</f>
        <v/>
      </c>
      <c r="F19" s="15"/>
      <c r="G19" s="16">
        <f>IFERROR('[1]R-2010'!L19,"")</f>
        <v>44500.2</v>
      </c>
      <c r="H19" s="17">
        <f t="shared" si="1"/>
        <v>0</v>
      </c>
      <c r="I19" s="17">
        <f t="shared" si="2"/>
        <v>0</v>
      </c>
      <c r="J19" s="17">
        <f t="shared" si="3"/>
        <v>0</v>
      </c>
    </row>
    <row r="20" spans="1:10" ht="13.5" thickBot="1">
      <c r="A20" s="15" t="str">
        <f>IF('[1]R-2010'!H20&lt;&gt;"","07974082000114","")</f>
        <v>07974082000114</v>
      </c>
      <c r="B20" s="15" t="str">
        <f t="shared" si="0"/>
        <v>07974082000114</v>
      </c>
      <c r="C20" s="15" t="str">
        <f>IFERROR(TEXT(VALUE(SUBSTITUTE(SUBSTITUTE(SUBSTITUTE('[1]R-2010'!H20,".",""),"/",""),"-","")),"00000000000"),"")</f>
        <v>69374585000106</v>
      </c>
      <c r="D20" s="5">
        <f>IFERROR('[1]R-2010'!J20,"")</f>
        <v>45717</v>
      </c>
      <c r="E20" s="15" t="str">
        <f>""</f>
        <v/>
      </c>
      <c r="F20" s="15"/>
      <c r="G20" s="16">
        <f>IFERROR('[1]R-2010'!L20,"")</f>
        <v>203353.36</v>
      </c>
      <c r="H20" s="17">
        <f t="shared" si="1"/>
        <v>0</v>
      </c>
      <c r="I20" s="17">
        <f t="shared" si="2"/>
        <v>0</v>
      </c>
      <c r="J20" s="17">
        <f t="shared" si="3"/>
        <v>0</v>
      </c>
    </row>
    <row r="21" spans="1:10" ht="13.5" thickBot="1">
      <c r="A21" s="15" t="str">
        <f>IF('[1]R-2010'!H21&lt;&gt;"","07974082000114","")</f>
        <v>07974082000114</v>
      </c>
      <c r="B21" s="15" t="str">
        <f t="shared" si="0"/>
        <v>07974082000114</v>
      </c>
      <c r="C21" s="15" t="str">
        <f>IFERROR(TEXT(VALUE(SUBSTITUTE(SUBSTITUTE(SUBSTITUTE('[1]R-2010'!H21,".",""),"/",""),"-","")),"00000000000"),"")</f>
        <v>69374585000106</v>
      </c>
      <c r="D21" s="5">
        <f>IFERROR('[1]R-2010'!J21,"")</f>
        <v>45717</v>
      </c>
      <c r="E21" s="15" t="str">
        <f>""</f>
        <v/>
      </c>
      <c r="F21" s="15"/>
      <c r="G21" s="16">
        <f>IFERROR('[1]R-2010'!L21,"")</f>
        <v>251685.54</v>
      </c>
      <c r="H21" s="17">
        <f t="shared" si="1"/>
        <v>0</v>
      </c>
      <c r="I21" s="17">
        <f t="shared" si="2"/>
        <v>0</v>
      </c>
      <c r="J21" s="17">
        <f t="shared" si="3"/>
        <v>0</v>
      </c>
    </row>
    <row r="22" spans="1:10" ht="13.5" thickBot="1">
      <c r="A22" s="15" t="str">
        <f>IF('[1]R-2010'!H22&lt;&gt;"","07974082000114","")</f>
        <v>07974082000114</v>
      </c>
      <c r="B22" s="15" t="str">
        <f t="shared" si="0"/>
        <v>07974082000114</v>
      </c>
      <c r="C22" s="15" t="str">
        <f>IFERROR(TEXT(VALUE(SUBSTITUTE(SUBSTITUTE(SUBSTITUTE('[1]R-2010'!H22,".",""),"/",""),"-","")),"00000000000"),"")</f>
        <v>19125143000158</v>
      </c>
      <c r="D22" s="5">
        <f>IFERROR('[1]R-2010'!J22,"")</f>
        <v>45717</v>
      </c>
      <c r="E22" s="15" t="str">
        <f>""</f>
        <v/>
      </c>
      <c r="F22" s="15"/>
      <c r="G22" s="16">
        <f>IFERROR('[1]R-2010'!L22,"")</f>
        <v>200000</v>
      </c>
      <c r="H22" s="17">
        <f t="shared" si="1"/>
        <v>0</v>
      </c>
      <c r="I22" s="17">
        <f t="shared" si="2"/>
        <v>0</v>
      </c>
      <c r="J22" s="17">
        <f t="shared" si="3"/>
        <v>0</v>
      </c>
    </row>
    <row r="23" spans="1:10" ht="13.5" thickBot="1">
      <c r="A23" s="15" t="str">
        <f>IF('[1]R-2010'!H23&lt;&gt;"","07974082000114","")</f>
        <v>07974082000114</v>
      </c>
      <c r="B23" s="15" t="str">
        <f t="shared" si="0"/>
        <v>07974082000114</v>
      </c>
      <c r="C23" s="15" t="str">
        <f>IFERROR(TEXT(VALUE(SUBSTITUTE(SUBSTITUTE(SUBSTITUTE('[1]R-2010'!H23,".",""),"/",""),"-","")),"00000000000"),"")</f>
        <v>3420933000126</v>
      </c>
      <c r="D23" s="5">
        <f>IFERROR('[1]R-2010'!J23,"")</f>
        <v>45748</v>
      </c>
      <c r="E23" s="15" t="str">
        <f>""</f>
        <v/>
      </c>
      <c r="F23" s="15"/>
      <c r="G23" s="16">
        <f>IFERROR('[1]R-2010'!L23,"")</f>
        <v>711.58</v>
      </c>
      <c r="H23" s="17">
        <f t="shared" si="1"/>
        <v>0</v>
      </c>
      <c r="I23" s="17">
        <f t="shared" si="2"/>
        <v>0</v>
      </c>
      <c r="J23" s="17">
        <f t="shared" si="3"/>
        <v>0</v>
      </c>
    </row>
    <row r="24" spans="1:10" ht="13.5" thickBot="1">
      <c r="A24" s="15" t="str">
        <f>IF('[1]R-2010'!H24&lt;&gt;"","07974082000114","")</f>
        <v>07974082000114</v>
      </c>
      <c r="B24" s="15" t="str">
        <f t="shared" si="0"/>
        <v>07974082000114</v>
      </c>
      <c r="C24" s="15" t="str">
        <f>IFERROR(TEXT(VALUE(SUBSTITUTE(SUBSTITUTE(SUBSTITUTE('[1]R-2010'!H24,".",""),"/",""),"-","")),"00000000000"),"")</f>
        <v>3420933000126</v>
      </c>
      <c r="D24" s="5">
        <f>IFERROR('[1]R-2010'!J24,"")</f>
        <v>45748</v>
      </c>
      <c r="E24" s="15" t="str">
        <f>""</f>
        <v/>
      </c>
      <c r="F24" s="15"/>
      <c r="G24" s="16">
        <f>IFERROR('[1]R-2010'!L24,"")</f>
        <v>793.72</v>
      </c>
      <c r="H24" s="17">
        <f t="shared" si="1"/>
        <v>0</v>
      </c>
      <c r="I24" s="17">
        <f t="shared" si="2"/>
        <v>0</v>
      </c>
      <c r="J24" s="17">
        <f t="shared" si="3"/>
        <v>0</v>
      </c>
    </row>
    <row r="25" spans="1:10" ht="13.5" thickBot="1">
      <c r="A25" s="15" t="str">
        <f>IF('[1]R-2010'!H25&lt;&gt;"","07974082000114","")</f>
        <v>07974082000114</v>
      </c>
      <c r="B25" s="15" t="str">
        <f t="shared" si="0"/>
        <v>07974082000114</v>
      </c>
      <c r="C25" s="15" t="str">
        <f>IFERROR(TEXT(VALUE(SUBSTITUTE(SUBSTITUTE(SUBSTITUTE('[1]R-2010'!H25,".",""),"/",""),"-","")),"00000000000"),"")</f>
        <v>3420933000126</v>
      </c>
      <c r="D25" s="5">
        <f>IFERROR('[1]R-2010'!J25,"")</f>
        <v>45748</v>
      </c>
      <c r="E25" s="15" t="str">
        <f>""</f>
        <v/>
      </c>
      <c r="F25" s="15"/>
      <c r="G25" s="16">
        <f>IFERROR('[1]R-2010'!L25,"")</f>
        <v>1431.29</v>
      </c>
      <c r="H25" s="17">
        <f t="shared" si="1"/>
        <v>0</v>
      </c>
      <c r="I25" s="17">
        <f t="shared" si="2"/>
        <v>0</v>
      </c>
      <c r="J25" s="17">
        <f t="shared" si="3"/>
        <v>0</v>
      </c>
    </row>
    <row r="26" spans="1:10" ht="13.5" thickBot="1">
      <c r="A26" s="15" t="str">
        <f>IF('[1]R-2010'!H26&lt;&gt;"","07974082000114","")</f>
        <v>07974082000114</v>
      </c>
      <c r="B26" s="15" t="str">
        <f t="shared" si="0"/>
        <v>07974082000114</v>
      </c>
      <c r="C26" s="15" t="str">
        <f>IFERROR(TEXT(VALUE(SUBSTITUTE(SUBSTITUTE(SUBSTITUTE('[1]R-2010'!H26,".",""),"/",""),"-","")),"00000000000"),"")</f>
        <v>3420933000126</v>
      </c>
      <c r="D26" s="5">
        <f>IFERROR('[1]R-2010'!J26,"")</f>
        <v>45748</v>
      </c>
      <c r="E26" s="15" t="str">
        <f>""</f>
        <v/>
      </c>
      <c r="F26" s="15"/>
      <c r="G26" s="16">
        <f>IFERROR('[1]R-2010'!L26,"")</f>
        <v>1845.64</v>
      </c>
      <c r="H26" s="17">
        <f t="shared" si="1"/>
        <v>0</v>
      </c>
      <c r="I26" s="17">
        <f t="shared" si="2"/>
        <v>0</v>
      </c>
      <c r="J26" s="17">
        <f t="shared" si="3"/>
        <v>0</v>
      </c>
    </row>
    <row r="27" spans="1:10" ht="13.5" thickBot="1">
      <c r="A27" s="15" t="str">
        <f>IF('[1]R-2010'!H27&lt;&gt;"","07974082000114","")</f>
        <v>07974082000114</v>
      </c>
      <c r="B27" s="15" t="str">
        <f t="shared" si="0"/>
        <v>07974082000114</v>
      </c>
      <c r="C27" s="15" t="str">
        <f>IFERROR(TEXT(VALUE(SUBSTITUTE(SUBSTITUTE(SUBSTITUTE('[1]R-2010'!H27,".",""),"/",""),"-","")),"00000000000"),"")</f>
        <v>3420933000126</v>
      </c>
      <c r="D27" s="5">
        <f>IFERROR('[1]R-2010'!J27,"")</f>
        <v>45748</v>
      </c>
      <c r="E27" s="15" t="str">
        <f>""</f>
        <v/>
      </c>
      <c r="F27" s="15"/>
      <c r="G27" s="16">
        <f>IFERROR('[1]R-2010'!L27,"")</f>
        <v>2380.88</v>
      </c>
      <c r="H27" s="17">
        <f t="shared" si="1"/>
        <v>0</v>
      </c>
      <c r="I27" s="17">
        <f t="shared" si="2"/>
        <v>0</v>
      </c>
      <c r="J27" s="17">
        <f t="shared" si="3"/>
        <v>0</v>
      </c>
    </row>
    <row r="28" spans="1:10" ht="13.5" thickBot="1">
      <c r="A28" s="15" t="str">
        <f>IF('[1]R-2010'!H28&lt;&gt;"","07974082000114","")</f>
        <v>07974082000114</v>
      </c>
      <c r="B28" s="15" t="str">
        <f t="shared" si="0"/>
        <v>07974082000114</v>
      </c>
      <c r="C28" s="15" t="str">
        <f>IFERROR(TEXT(VALUE(SUBSTITUTE(SUBSTITUTE(SUBSTITUTE('[1]R-2010'!H28,".",""),"/",""),"-","")),"00000000000"),"")</f>
        <v>3420933000126</v>
      </c>
      <c r="D28" s="5">
        <f>IFERROR('[1]R-2010'!J28,"")</f>
        <v>45748</v>
      </c>
      <c r="E28" s="15" t="str">
        <f>""</f>
        <v/>
      </c>
      <c r="F28" s="15"/>
      <c r="G28" s="16">
        <f>IFERROR('[1]R-2010'!L28,"")</f>
        <v>3870.07</v>
      </c>
      <c r="H28" s="17">
        <f t="shared" si="1"/>
        <v>0</v>
      </c>
      <c r="I28" s="17">
        <f t="shared" si="2"/>
        <v>0</v>
      </c>
      <c r="J28" s="17">
        <f t="shared" si="3"/>
        <v>0</v>
      </c>
    </row>
    <row r="29" spans="1:10" ht="13.5" thickBot="1">
      <c r="A29" s="15" t="str">
        <f>IF('[1]R-2010'!H29&lt;&gt;"","07974082000114","")</f>
        <v>07974082000114</v>
      </c>
      <c r="B29" s="15" t="str">
        <f t="shared" si="0"/>
        <v>07974082000114</v>
      </c>
      <c r="C29" s="15" t="str">
        <f>IFERROR(TEXT(VALUE(SUBSTITUTE(SUBSTITUTE(SUBSTITUTE('[1]R-2010'!H29,".",""),"/",""),"-","")),"00000000000"),"")</f>
        <v>3420933000126</v>
      </c>
      <c r="D29" s="5">
        <f>IFERROR('[1]R-2010'!J29,"")</f>
        <v>45748</v>
      </c>
      <c r="E29" s="15" t="str">
        <f>""</f>
        <v/>
      </c>
      <c r="F29" s="15"/>
      <c r="G29" s="16">
        <f>IFERROR('[1]R-2010'!L29,"")</f>
        <v>4761.4799999999996</v>
      </c>
      <c r="H29" s="17">
        <f t="shared" si="1"/>
        <v>0</v>
      </c>
      <c r="I29" s="17">
        <f t="shared" si="2"/>
        <v>0</v>
      </c>
      <c r="J29" s="17">
        <f t="shared" si="3"/>
        <v>0</v>
      </c>
    </row>
    <row r="30" spans="1:10" ht="13.5" thickBot="1">
      <c r="A30" s="15" t="str">
        <f>IF('[1]R-2010'!H30&lt;&gt;"","07974082000114","")</f>
        <v>07974082000114</v>
      </c>
      <c r="B30" s="15" t="str">
        <f t="shared" si="0"/>
        <v>07974082000114</v>
      </c>
      <c r="C30" s="15" t="str">
        <f>IFERROR(TEXT(VALUE(SUBSTITUTE(SUBSTITUTE(SUBSTITUTE('[1]R-2010'!H30,".",""),"/",""),"-","")),"00000000000"),"")</f>
        <v>3420933000126</v>
      </c>
      <c r="D30" s="5">
        <f>IFERROR('[1]R-2010'!J30,"")</f>
        <v>45748</v>
      </c>
      <c r="E30" s="15" t="str">
        <f>""</f>
        <v/>
      </c>
      <c r="F30" s="15"/>
      <c r="G30" s="16">
        <f>IFERROR('[1]R-2010'!L30,"")</f>
        <v>4939.04</v>
      </c>
      <c r="H30" s="17">
        <f t="shared" si="1"/>
        <v>0</v>
      </c>
      <c r="I30" s="17">
        <f t="shared" si="2"/>
        <v>0</v>
      </c>
      <c r="J30" s="17">
        <f t="shared" si="3"/>
        <v>0</v>
      </c>
    </row>
    <row r="31" spans="1:10" ht="13.5" thickBot="1">
      <c r="A31" s="15" t="str">
        <f>IF('[1]R-2010'!H31&lt;&gt;"","07974082000114","")</f>
        <v>07974082000114</v>
      </c>
      <c r="B31" s="15" t="str">
        <f t="shared" si="0"/>
        <v>07974082000114</v>
      </c>
      <c r="C31" s="15" t="str">
        <f>IFERROR(TEXT(VALUE(SUBSTITUTE(SUBSTITUTE(SUBSTITUTE('[1]R-2010'!H31,".",""),"/",""),"-","")),"00000000000"),"")</f>
        <v>3420933000126</v>
      </c>
      <c r="D31" s="5">
        <f>IFERROR('[1]R-2010'!J31,"")</f>
        <v>45748</v>
      </c>
      <c r="E31" s="15" t="str">
        <f>""</f>
        <v/>
      </c>
      <c r="F31" s="15"/>
      <c r="G31" s="16">
        <f>IFERROR('[1]R-2010'!L31,"")</f>
        <v>9586.2000000000007</v>
      </c>
      <c r="H31" s="17">
        <f t="shared" si="1"/>
        <v>0</v>
      </c>
      <c r="I31" s="17">
        <f t="shared" si="2"/>
        <v>0</v>
      </c>
      <c r="J31" s="17">
        <f t="shared" si="3"/>
        <v>0</v>
      </c>
    </row>
    <row r="32" spans="1:10" ht="13.5" thickBot="1">
      <c r="A32" s="15" t="str">
        <f>IF('[1]R-2010'!H32&lt;&gt;"","07974082000114","")</f>
        <v>07974082000114</v>
      </c>
      <c r="B32" s="15" t="str">
        <f t="shared" si="0"/>
        <v>07974082000114</v>
      </c>
      <c r="C32" s="15" t="str">
        <f>IFERROR(TEXT(VALUE(SUBSTITUTE(SUBSTITUTE(SUBSTITUTE('[1]R-2010'!H32,".",""),"/",""),"-","")),"00000000000"),"")</f>
        <v>3420933000126</v>
      </c>
      <c r="D32" s="5">
        <f>IFERROR('[1]R-2010'!J32,"")</f>
        <v>45748</v>
      </c>
      <c r="E32" s="15" t="str">
        <f>""</f>
        <v/>
      </c>
      <c r="F32" s="15"/>
      <c r="G32" s="16">
        <f>IFERROR('[1]R-2010'!L32,"")</f>
        <v>10560.15</v>
      </c>
      <c r="H32" s="17">
        <f t="shared" si="1"/>
        <v>0</v>
      </c>
      <c r="I32" s="17">
        <f t="shared" si="2"/>
        <v>0</v>
      </c>
      <c r="J32" s="17">
        <f t="shared" si="3"/>
        <v>0</v>
      </c>
    </row>
    <row r="33" spans="1:10" ht="13.5" thickBot="1">
      <c r="A33" s="15" t="str">
        <f>IF('[1]R-2010'!H33&lt;&gt;"","07974082000114","")</f>
        <v>07974082000114</v>
      </c>
      <c r="B33" s="15" t="str">
        <f t="shared" si="0"/>
        <v>07974082000114</v>
      </c>
      <c r="C33" s="15" t="str">
        <f>IFERROR(TEXT(VALUE(SUBSTITUTE(SUBSTITUTE(SUBSTITUTE('[1]R-2010'!H33,".",""),"/",""),"-","")),"00000000000"),"")</f>
        <v>3420933000126</v>
      </c>
      <c r="D33" s="5">
        <f>IFERROR('[1]R-2010'!J33,"")</f>
        <v>45748</v>
      </c>
      <c r="E33" s="15" t="str">
        <f>""</f>
        <v/>
      </c>
      <c r="F33" s="15"/>
      <c r="G33" s="16">
        <f>IFERROR('[1]R-2010'!L33,"")</f>
        <v>12697.58</v>
      </c>
      <c r="H33" s="17">
        <f t="shared" si="1"/>
        <v>0</v>
      </c>
      <c r="I33" s="17">
        <f t="shared" si="2"/>
        <v>0</v>
      </c>
      <c r="J33" s="17">
        <f t="shared" si="3"/>
        <v>0</v>
      </c>
    </row>
    <row r="34" spans="1:10" ht="13.5" thickBot="1">
      <c r="A34" s="15" t="str">
        <f>IF('[1]R-2010'!H34&lt;&gt;"","07974082000114","")</f>
        <v>07974082000114</v>
      </c>
      <c r="B34" s="15" t="str">
        <f t="shared" si="0"/>
        <v>07974082000114</v>
      </c>
      <c r="C34" s="15" t="str">
        <f>IFERROR(TEXT(VALUE(SUBSTITUTE(SUBSTITUTE(SUBSTITUTE('[1]R-2010'!H34,".",""),"/",""),"-","")),"00000000000"),"")</f>
        <v>3420933000126</v>
      </c>
      <c r="D34" s="5">
        <f>IFERROR('[1]R-2010'!J34,"")</f>
        <v>45748</v>
      </c>
      <c r="E34" s="15" t="str">
        <f>""</f>
        <v/>
      </c>
      <c r="F34" s="15"/>
      <c r="G34" s="16">
        <f>IFERROR('[1]R-2010'!L34,"")</f>
        <v>24628.83</v>
      </c>
      <c r="H34" s="17">
        <f t="shared" si="1"/>
        <v>0</v>
      </c>
      <c r="I34" s="17">
        <f t="shared" si="2"/>
        <v>0</v>
      </c>
      <c r="J34" s="17">
        <f t="shared" si="3"/>
        <v>0</v>
      </c>
    </row>
    <row r="35" spans="1:10" ht="13.5" thickBot="1">
      <c r="A35" s="15" t="str">
        <f>IF('[1]R-2010'!H35&lt;&gt;"","07974082000114","")</f>
        <v>07974082000114</v>
      </c>
      <c r="B35" s="15" t="str">
        <f t="shared" si="0"/>
        <v>07974082000114</v>
      </c>
      <c r="C35" s="15" t="str">
        <f>IFERROR(TEXT(VALUE(SUBSTITUTE(SUBSTITUTE(SUBSTITUTE('[1]R-2010'!H35,".",""),"/",""),"-","")),"00000000000"),"")</f>
        <v>33921755000188</v>
      </c>
      <c r="D35" s="5">
        <f>IFERROR('[1]R-2010'!J35,"")</f>
        <v>45748</v>
      </c>
      <c r="E35" s="15" t="str">
        <f>""</f>
        <v/>
      </c>
      <c r="F35" s="15"/>
      <c r="G35" s="16">
        <f>IFERROR('[1]R-2010'!L35,"")</f>
        <v>4700</v>
      </c>
      <c r="H35" s="17">
        <f t="shared" si="1"/>
        <v>0</v>
      </c>
      <c r="I35" s="17">
        <f t="shared" si="2"/>
        <v>0</v>
      </c>
      <c r="J35" s="17">
        <f t="shared" si="3"/>
        <v>0</v>
      </c>
    </row>
    <row r="36" spans="1:10" ht="13.5" thickBot="1">
      <c r="A36" s="15" t="str">
        <f>IF('[1]R-2010'!H36&lt;&gt;"","07974082000114","")</f>
        <v>07974082000114</v>
      </c>
      <c r="B36" s="15" t="str">
        <f t="shared" si="0"/>
        <v>07974082000114</v>
      </c>
      <c r="C36" s="15" t="str">
        <f>IFERROR(TEXT(VALUE(SUBSTITUTE(SUBSTITUTE(SUBSTITUTE('[1]R-2010'!H36,".",""),"/",""),"-","")),"00000000000"),"")</f>
        <v>33921755000188</v>
      </c>
      <c r="D36" s="5">
        <f>IFERROR('[1]R-2010'!J36,"")</f>
        <v>45748</v>
      </c>
      <c r="E36" s="15" t="str">
        <f>""</f>
        <v/>
      </c>
      <c r="F36" s="15"/>
      <c r="G36" s="16">
        <f>IFERROR('[1]R-2010'!L36,"")</f>
        <v>4700</v>
      </c>
      <c r="H36" s="17">
        <f t="shared" si="1"/>
        <v>0</v>
      </c>
      <c r="I36" s="17">
        <f t="shared" si="2"/>
        <v>0</v>
      </c>
      <c r="J36" s="17">
        <f t="shared" si="3"/>
        <v>0</v>
      </c>
    </row>
    <row r="37" spans="1:10" ht="13.5" thickBot="1">
      <c r="A37" s="15" t="str">
        <f>IF('[1]R-2010'!H37&lt;&gt;"","07974082000114","")</f>
        <v>07974082000114</v>
      </c>
      <c r="B37" s="15" t="str">
        <f t="shared" si="0"/>
        <v>07974082000114</v>
      </c>
      <c r="C37" s="15" t="str">
        <f>IFERROR(TEXT(VALUE(SUBSTITUTE(SUBSTITUTE(SUBSTITUTE('[1]R-2010'!H37,".",""),"/",""),"-","")),"00000000000"),"")</f>
        <v>4238951000154</v>
      </c>
      <c r="D37" s="5">
        <f>IFERROR('[1]R-2010'!J37,"")</f>
        <v>45748</v>
      </c>
      <c r="E37" s="15" t="str">
        <f>""</f>
        <v/>
      </c>
      <c r="F37" s="15"/>
      <c r="G37" s="16">
        <f>IFERROR('[1]R-2010'!L37,"")</f>
        <v>16500</v>
      </c>
      <c r="H37" s="17">
        <f t="shared" si="1"/>
        <v>0</v>
      </c>
      <c r="I37" s="17">
        <f t="shared" si="2"/>
        <v>0</v>
      </c>
      <c r="J37" s="17">
        <f t="shared" si="3"/>
        <v>0</v>
      </c>
    </row>
    <row r="38" spans="1:10" ht="13.5" thickBot="1">
      <c r="A38" s="15" t="str">
        <f>IF('[1]R-2010'!H38&lt;&gt;"","07974082000114","")</f>
        <v>07974082000114</v>
      </c>
      <c r="B38" s="15" t="str">
        <f t="shared" si="0"/>
        <v>07974082000114</v>
      </c>
      <c r="C38" s="15" t="str">
        <f>IFERROR(TEXT(VALUE(SUBSTITUTE(SUBSTITUTE(SUBSTITUTE('[1]R-2010'!H38,".",""),"/",""),"-","")),"00000000000"),"")</f>
        <v>4238951000154</v>
      </c>
      <c r="D38" s="5">
        <f>IFERROR('[1]R-2010'!J38,"")</f>
        <v>45748</v>
      </c>
      <c r="E38" s="15" t="str">
        <f>""</f>
        <v/>
      </c>
      <c r="F38" s="15"/>
      <c r="G38" s="16">
        <f>IFERROR('[1]R-2010'!L38,"")</f>
        <v>18300</v>
      </c>
      <c r="H38" s="17">
        <f t="shared" si="1"/>
        <v>0</v>
      </c>
      <c r="I38" s="17">
        <f t="shared" si="2"/>
        <v>0</v>
      </c>
      <c r="J38" s="17">
        <f t="shared" si="3"/>
        <v>0</v>
      </c>
    </row>
    <row r="39" spans="1:10" ht="13.5" thickBot="1">
      <c r="A39" s="15" t="str">
        <f>IF('[1]R-2010'!H39&lt;&gt;"","07974082000114","")</f>
        <v>07974082000114</v>
      </c>
      <c r="B39" s="15" t="str">
        <f t="shared" si="0"/>
        <v>07974082000114</v>
      </c>
      <c r="C39" s="15" t="str">
        <f>IFERROR(TEXT(VALUE(SUBSTITUTE(SUBSTITUTE(SUBSTITUTE('[1]R-2010'!H39,".",""),"/",""),"-","")),"00000000000"),"")</f>
        <v>30994850000113</v>
      </c>
      <c r="D39" s="5">
        <f>IFERROR('[1]R-2010'!J39,"")</f>
        <v>45748</v>
      </c>
      <c r="E39" s="15" t="str">
        <f>""</f>
        <v/>
      </c>
      <c r="F39" s="15"/>
      <c r="G39" s="16">
        <f>IFERROR('[1]R-2010'!L39,"")</f>
        <v>401762.11</v>
      </c>
      <c r="H39" s="17">
        <f t="shared" si="1"/>
        <v>0</v>
      </c>
      <c r="I39" s="17">
        <f t="shared" si="2"/>
        <v>0</v>
      </c>
      <c r="J39" s="17">
        <f t="shared" si="3"/>
        <v>0</v>
      </c>
    </row>
    <row r="40" spans="1:10" ht="13.5" thickBot="1">
      <c r="A40" s="15" t="str">
        <f>IF('[1]R-2010'!H40&lt;&gt;"","07974082000114","")</f>
        <v>07974082000114</v>
      </c>
      <c r="B40" s="15" t="str">
        <f t="shared" si="0"/>
        <v>07974082000114</v>
      </c>
      <c r="C40" s="15" t="str">
        <f>IFERROR(TEXT(VALUE(SUBSTITUTE(SUBSTITUTE(SUBSTITUTE('[1]R-2010'!H40,".",""),"/",""),"-","")),"00000000000"),"")</f>
        <v>24525971000113</v>
      </c>
      <c r="D40" s="5">
        <f>IFERROR('[1]R-2010'!J40,"")</f>
        <v>45748</v>
      </c>
      <c r="E40" s="15" t="str">
        <f>""</f>
        <v/>
      </c>
      <c r="F40" s="15"/>
      <c r="G40" s="16">
        <f>IFERROR('[1]R-2010'!L40,"")</f>
        <v>8431.44</v>
      </c>
      <c r="H40" s="17">
        <f t="shared" si="1"/>
        <v>0</v>
      </c>
      <c r="I40" s="17">
        <f t="shared" si="2"/>
        <v>0</v>
      </c>
      <c r="J40" s="17">
        <f t="shared" si="3"/>
        <v>0</v>
      </c>
    </row>
    <row r="41" spans="1:10" ht="13.5" thickBot="1">
      <c r="A41" s="15" t="str">
        <f>IF('[1]R-2010'!H41&lt;&gt;"","07974082000114","")</f>
        <v>07974082000114</v>
      </c>
      <c r="B41" s="15" t="str">
        <f t="shared" si="0"/>
        <v>07974082000114</v>
      </c>
      <c r="C41" s="15" t="str">
        <f>IFERROR(TEXT(VALUE(SUBSTITUTE(SUBSTITUTE(SUBSTITUTE('[1]R-2010'!H41,".",""),"/",""),"-","")),"00000000000"),"")</f>
        <v>24525971000113</v>
      </c>
      <c r="D41" s="5">
        <f>IFERROR('[1]R-2010'!J41,"")</f>
        <v>45748</v>
      </c>
      <c r="E41" s="15" t="str">
        <f>""</f>
        <v/>
      </c>
      <c r="F41" s="15"/>
      <c r="G41" s="16">
        <f>IFERROR('[1]R-2010'!L41,"")</f>
        <v>33725.760000000002</v>
      </c>
      <c r="H41" s="17">
        <f t="shared" si="1"/>
        <v>0</v>
      </c>
      <c r="I41" s="17">
        <f t="shared" si="2"/>
        <v>0</v>
      </c>
      <c r="J41" s="17">
        <f t="shared" si="3"/>
        <v>0</v>
      </c>
    </row>
    <row r="42" spans="1:10" ht="13.5" thickBot="1">
      <c r="A42" s="15" t="str">
        <f>IF('[1]R-2010'!H42&lt;&gt;"","07974082000114","")</f>
        <v>07974082000114</v>
      </c>
      <c r="B42" s="15" t="str">
        <f t="shared" si="0"/>
        <v>07974082000114</v>
      </c>
      <c r="C42" s="15" t="str">
        <f>IFERROR(TEXT(VALUE(SUBSTITUTE(SUBSTITUTE(SUBSTITUTE('[1]R-2010'!H42,".",""),"/",""),"-","")),"00000000000"),"")</f>
        <v>24525971000113</v>
      </c>
      <c r="D42" s="5">
        <f>IFERROR('[1]R-2010'!J42,"")</f>
        <v>45748</v>
      </c>
      <c r="E42" s="15" t="str">
        <f>""</f>
        <v/>
      </c>
      <c r="F42" s="15"/>
      <c r="G42" s="16">
        <f>IFERROR('[1]R-2010'!L42,"")</f>
        <v>42157.21</v>
      </c>
      <c r="H42" s="17">
        <f t="shared" si="1"/>
        <v>0</v>
      </c>
      <c r="I42" s="17">
        <f t="shared" si="2"/>
        <v>0</v>
      </c>
      <c r="J42" s="17">
        <f t="shared" si="3"/>
        <v>0</v>
      </c>
    </row>
    <row r="43" spans="1:10" ht="13.5" thickBot="1">
      <c r="A43" s="15" t="str">
        <f>IF('[1]R-2010'!H43&lt;&gt;"","07974082000114","")</f>
        <v>07974082000114</v>
      </c>
      <c r="B43" s="15" t="str">
        <f t="shared" si="0"/>
        <v>07974082000114</v>
      </c>
      <c r="C43" s="15" t="str">
        <f>IFERROR(TEXT(VALUE(SUBSTITUTE(SUBSTITUTE(SUBSTITUTE('[1]R-2010'!H43,".",""),"/",""),"-","")),"00000000000"),"")</f>
        <v>3420933000126</v>
      </c>
      <c r="D43" s="5">
        <f>IFERROR('[1]R-2010'!J43,"")</f>
        <v>45748</v>
      </c>
      <c r="E43" s="15" t="str">
        <f>""</f>
        <v/>
      </c>
      <c r="F43" s="15"/>
      <c r="G43" s="16">
        <f>IFERROR('[1]R-2010'!L43,"")</f>
        <v>711.58</v>
      </c>
      <c r="H43" s="17">
        <f t="shared" si="1"/>
        <v>0</v>
      </c>
      <c r="I43" s="17">
        <f t="shared" si="2"/>
        <v>0</v>
      </c>
      <c r="J43" s="17">
        <f t="shared" si="3"/>
        <v>0</v>
      </c>
    </row>
    <row r="44" spans="1:10" ht="13.5" thickBot="1">
      <c r="A44" s="15" t="str">
        <f>IF('[1]R-2010'!H44&lt;&gt;"","07974082000114","")</f>
        <v>07974082000114</v>
      </c>
      <c r="B44" s="15" t="str">
        <f t="shared" si="0"/>
        <v>07974082000114</v>
      </c>
      <c r="C44" s="15" t="str">
        <f>IFERROR(TEXT(VALUE(SUBSTITUTE(SUBSTITUTE(SUBSTITUTE('[1]R-2010'!H44,".",""),"/",""),"-","")),"00000000000"),"")</f>
        <v>3420933000126</v>
      </c>
      <c r="D44" s="5">
        <f>IFERROR('[1]R-2010'!J44,"")</f>
        <v>45748</v>
      </c>
      <c r="E44" s="15" t="str">
        <f>""</f>
        <v/>
      </c>
      <c r="F44" s="15"/>
      <c r="G44" s="16">
        <f>IFERROR('[1]R-2010'!L44,"")</f>
        <v>711.58</v>
      </c>
      <c r="H44" s="17">
        <f t="shared" si="1"/>
        <v>0</v>
      </c>
      <c r="I44" s="17">
        <f t="shared" si="2"/>
        <v>0</v>
      </c>
      <c r="J44" s="17">
        <f t="shared" si="3"/>
        <v>0</v>
      </c>
    </row>
    <row r="45" spans="1:10" ht="13.5" thickBot="1">
      <c r="A45" s="15" t="str">
        <f>IF('[1]R-2010'!H45&lt;&gt;"","07974082000114","")</f>
        <v>07974082000114</v>
      </c>
      <c r="B45" s="15" t="str">
        <f t="shared" si="0"/>
        <v>07974082000114</v>
      </c>
      <c r="C45" s="15" t="str">
        <f>IFERROR(TEXT(VALUE(SUBSTITUTE(SUBSTITUTE(SUBSTITUTE('[1]R-2010'!H45,".",""),"/",""),"-","")),"00000000000"),"")</f>
        <v>3420933000126</v>
      </c>
      <c r="D45" s="5">
        <f>IFERROR('[1]R-2010'!J45,"")</f>
        <v>45748</v>
      </c>
      <c r="E45" s="15" t="str">
        <f>""</f>
        <v/>
      </c>
      <c r="F45" s="15"/>
      <c r="G45" s="16">
        <f>IFERROR('[1]R-2010'!L45,"")</f>
        <v>793.72</v>
      </c>
      <c r="H45" s="17">
        <f t="shared" si="1"/>
        <v>0</v>
      </c>
      <c r="I45" s="17">
        <f t="shared" si="2"/>
        <v>0</v>
      </c>
      <c r="J45" s="17">
        <f t="shared" si="3"/>
        <v>0</v>
      </c>
    </row>
    <row r="46" spans="1:10" ht="13.5" thickBot="1">
      <c r="A46" s="15" t="str">
        <f>IF('[1]R-2010'!H46&lt;&gt;"","07974082000114","")</f>
        <v>07974082000114</v>
      </c>
      <c r="B46" s="15" t="str">
        <f t="shared" si="0"/>
        <v>07974082000114</v>
      </c>
      <c r="C46" s="15" t="str">
        <f>IFERROR(TEXT(VALUE(SUBSTITUTE(SUBSTITUTE(SUBSTITUTE('[1]R-2010'!H46,".",""),"/",""),"-","")),"00000000000"),"")</f>
        <v>3420933000126</v>
      </c>
      <c r="D46" s="5">
        <f>IFERROR('[1]R-2010'!J46,"")</f>
        <v>45748</v>
      </c>
      <c r="E46" s="15" t="str">
        <f>""</f>
        <v/>
      </c>
      <c r="F46" s="15"/>
      <c r="G46" s="16">
        <f>IFERROR('[1]R-2010'!L46,"")</f>
        <v>1113.4000000000001</v>
      </c>
      <c r="H46" s="17">
        <f t="shared" si="1"/>
        <v>0</v>
      </c>
      <c r="I46" s="17">
        <f t="shared" si="2"/>
        <v>0</v>
      </c>
      <c r="J46" s="17">
        <f t="shared" si="3"/>
        <v>0</v>
      </c>
    </row>
    <row r="47" spans="1:10" ht="13.5" thickBot="1">
      <c r="A47" s="15" t="str">
        <f>IF('[1]R-2010'!H47&lt;&gt;"","07974082000114","")</f>
        <v>07974082000114</v>
      </c>
      <c r="B47" s="15" t="str">
        <f t="shared" si="0"/>
        <v>07974082000114</v>
      </c>
      <c r="C47" s="15" t="str">
        <f>IFERROR(TEXT(VALUE(SUBSTITUTE(SUBSTITUTE(SUBSTITUTE('[1]R-2010'!H47,".",""),"/",""),"-","")),"00000000000"),"")</f>
        <v>3420933000126</v>
      </c>
      <c r="D47" s="5">
        <f>IFERROR('[1]R-2010'!J47,"")</f>
        <v>45748</v>
      </c>
      <c r="E47" s="15" t="str">
        <f>""</f>
        <v/>
      </c>
      <c r="F47" s="15"/>
      <c r="G47" s="16">
        <f>IFERROR('[1]R-2010'!L47,"")</f>
        <v>1113.4000000000001</v>
      </c>
      <c r="H47" s="17">
        <f t="shared" si="1"/>
        <v>0</v>
      </c>
      <c r="I47" s="17">
        <f t="shared" si="2"/>
        <v>0</v>
      </c>
      <c r="J47" s="17">
        <f t="shared" si="3"/>
        <v>0</v>
      </c>
    </row>
    <row r="48" spans="1:10" ht="13.5" thickBot="1">
      <c r="A48" s="15" t="str">
        <f>IF('[1]R-2010'!H48&lt;&gt;"","07974082000114","")</f>
        <v>07974082000114</v>
      </c>
      <c r="B48" s="15" t="str">
        <f t="shared" si="0"/>
        <v>07974082000114</v>
      </c>
      <c r="C48" s="15" t="str">
        <f>IFERROR(TEXT(VALUE(SUBSTITUTE(SUBSTITUTE(SUBSTITUTE('[1]R-2010'!H48,".",""),"/",""),"-","")),"00000000000"),"")</f>
        <v>3420933000126</v>
      </c>
      <c r="D48" s="5">
        <f>IFERROR('[1]R-2010'!J48,"")</f>
        <v>45748</v>
      </c>
      <c r="E48" s="15" t="str">
        <f>""</f>
        <v/>
      </c>
      <c r="F48" s="15"/>
      <c r="G48" s="16">
        <f>IFERROR('[1]R-2010'!L48,"")</f>
        <v>1185.81</v>
      </c>
      <c r="H48" s="17">
        <f t="shared" si="1"/>
        <v>0</v>
      </c>
      <c r="I48" s="17">
        <f t="shared" si="2"/>
        <v>0</v>
      </c>
      <c r="J48" s="17">
        <f t="shared" si="3"/>
        <v>0</v>
      </c>
    </row>
    <row r="49" spans="1:10" ht="13.5" thickBot="1">
      <c r="A49" s="15" t="str">
        <f>IF('[1]R-2010'!H49&lt;&gt;"","07974082000114","")</f>
        <v>07974082000114</v>
      </c>
      <c r="B49" s="15" t="str">
        <f t="shared" si="0"/>
        <v>07974082000114</v>
      </c>
      <c r="C49" s="15" t="str">
        <f>IFERROR(TEXT(VALUE(SUBSTITUTE(SUBSTITUTE(SUBSTITUTE('[1]R-2010'!H49,".",""),"/",""),"-","")),"00000000000"),"")</f>
        <v>3420933000126</v>
      </c>
      <c r="D49" s="5">
        <f>IFERROR('[1]R-2010'!J49,"")</f>
        <v>45748</v>
      </c>
      <c r="E49" s="15" t="str">
        <f>""</f>
        <v/>
      </c>
      <c r="F49" s="15"/>
      <c r="G49" s="16">
        <f>IFERROR('[1]R-2010'!L49,"")</f>
        <v>1431.29</v>
      </c>
      <c r="H49" s="17">
        <f t="shared" si="1"/>
        <v>0</v>
      </c>
      <c r="I49" s="17">
        <f t="shared" si="2"/>
        <v>0</v>
      </c>
      <c r="J49" s="17">
        <f t="shared" si="3"/>
        <v>0</v>
      </c>
    </row>
    <row r="50" spans="1:10" ht="13.5" thickBot="1">
      <c r="A50" s="15" t="str">
        <f>IF('[1]R-2010'!H50&lt;&gt;"","07974082000114","")</f>
        <v>07974082000114</v>
      </c>
      <c r="B50" s="15" t="str">
        <f t="shared" si="0"/>
        <v>07974082000114</v>
      </c>
      <c r="C50" s="15" t="str">
        <f>IFERROR(TEXT(VALUE(SUBSTITUTE(SUBSTITUTE(SUBSTITUTE('[1]R-2010'!H50,".",""),"/",""),"-","")),"00000000000"),"")</f>
        <v>3420933000126</v>
      </c>
      <c r="D50" s="5">
        <f>IFERROR('[1]R-2010'!J50,"")</f>
        <v>45748</v>
      </c>
      <c r="E50" s="15" t="str">
        <f>""</f>
        <v/>
      </c>
      <c r="F50" s="15"/>
      <c r="G50" s="16">
        <f>IFERROR('[1]R-2010'!L50,"")</f>
        <v>1442.27</v>
      </c>
      <c r="H50" s="17">
        <f t="shared" si="1"/>
        <v>0</v>
      </c>
      <c r="I50" s="17">
        <f t="shared" si="2"/>
        <v>0</v>
      </c>
      <c r="J50" s="17">
        <f t="shared" si="3"/>
        <v>0</v>
      </c>
    </row>
    <row r="51" spans="1:10" ht="13.5" thickBot="1">
      <c r="A51" s="15" t="str">
        <f>IF('[1]R-2010'!H51&lt;&gt;"","07974082000114","")</f>
        <v>07974082000114</v>
      </c>
      <c r="B51" s="15" t="str">
        <f t="shared" si="0"/>
        <v>07974082000114</v>
      </c>
      <c r="C51" s="15" t="str">
        <f>IFERROR(TEXT(VALUE(SUBSTITUTE(SUBSTITUTE(SUBSTITUTE('[1]R-2010'!H51,".",""),"/",""),"-","")),"00000000000"),"")</f>
        <v>3420933000126</v>
      </c>
      <c r="D51" s="5">
        <f>IFERROR('[1]R-2010'!J51,"")</f>
        <v>45748</v>
      </c>
      <c r="E51" s="15" t="str">
        <f>""</f>
        <v/>
      </c>
      <c r="F51" s="15"/>
      <c r="G51" s="16">
        <f>IFERROR('[1]R-2010'!L51,"")</f>
        <v>3755.88</v>
      </c>
      <c r="H51" s="17">
        <f t="shared" si="1"/>
        <v>0</v>
      </c>
      <c r="I51" s="17">
        <f t="shared" si="2"/>
        <v>0</v>
      </c>
      <c r="J51" s="17">
        <f t="shared" si="3"/>
        <v>0</v>
      </c>
    </row>
    <row r="52" spans="1:10" ht="13.5" thickBot="1">
      <c r="A52" s="15" t="str">
        <f>IF('[1]R-2010'!H52&lt;&gt;"","07974082000114","")</f>
        <v>07974082000114</v>
      </c>
      <c r="B52" s="15" t="str">
        <f t="shared" si="0"/>
        <v>07974082000114</v>
      </c>
      <c r="C52" s="15" t="str">
        <f>IFERROR(TEXT(VALUE(SUBSTITUTE(SUBSTITUTE(SUBSTITUTE('[1]R-2010'!H52,".",""),"/",""),"-","")),"00000000000"),"")</f>
        <v>3420933000126</v>
      </c>
      <c r="D52" s="5">
        <f>IFERROR('[1]R-2010'!J52,"")</f>
        <v>45748</v>
      </c>
      <c r="E52" s="15" t="str">
        <f>""</f>
        <v/>
      </c>
      <c r="F52" s="15"/>
      <c r="G52" s="16">
        <f>IFERROR('[1]R-2010'!L52,"")</f>
        <v>3919.88</v>
      </c>
      <c r="H52" s="17">
        <f t="shared" si="1"/>
        <v>0</v>
      </c>
      <c r="I52" s="17">
        <f t="shared" si="2"/>
        <v>0</v>
      </c>
      <c r="J52" s="17">
        <f t="shared" si="3"/>
        <v>0</v>
      </c>
    </row>
    <row r="53" spans="1:10" ht="13.5" thickBot="1">
      <c r="A53" s="15" t="str">
        <f>IF('[1]R-2010'!H53&lt;&gt;"","07974082000114","")</f>
        <v>07974082000114</v>
      </c>
      <c r="B53" s="15" t="str">
        <f t="shared" si="0"/>
        <v>07974082000114</v>
      </c>
      <c r="C53" s="15" t="str">
        <f>IFERROR(TEXT(VALUE(SUBSTITUTE(SUBSTITUTE(SUBSTITUTE('[1]R-2010'!H53,".",""),"/",""),"-","")),"00000000000"),"")</f>
        <v>3420933000126</v>
      </c>
      <c r="D53" s="5">
        <f>IFERROR('[1]R-2010'!J53,"")</f>
        <v>45748</v>
      </c>
      <c r="E53" s="15" t="str">
        <f>""</f>
        <v/>
      </c>
      <c r="F53" s="15"/>
      <c r="G53" s="16">
        <f>IFERROR('[1]R-2010'!L53,"")</f>
        <v>10560.15</v>
      </c>
      <c r="H53" s="17">
        <f t="shared" si="1"/>
        <v>0</v>
      </c>
      <c r="I53" s="17">
        <f t="shared" si="2"/>
        <v>0</v>
      </c>
      <c r="J53" s="17">
        <f t="shared" si="3"/>
        <v>0</v>
      </c>
    </row>
    <row r="54" spans="1:10" ht="13.5" thickBot="1">
      <c r="A54" s="15" t="str">
        <f>IF('[1]R-2010'!H54&lt;&gt;"","07974082000114","")</f>
        <v>07974082000114</v>
      </c>
      <c r="B54" s="15" t="str">
        <f t="shared" si="0"/>
        <v>07974082000114</v>
      </c>
      <c r="C54" s="15" t="str">
        <f>IFERROR(TEXT(VALUE(SUBSTITUTE(SUBSTITUTE(SUBSTITUTE('[1]R-2010'!H54,".",""),"/",""),"-","")),"00000000000"),"")</f>
        <v>33921755000188</v>
      </c>
      <c r="D54" s="5">
        <f>IFERROR('[1]R-2010'!J54,"")</f>
        <v>45748</v>
      </c>
      <c r="E54" s="15" t="str">
        <f>""</f>
        <v/>
      </c>
      <c r="F54" s="15"/>
      <c r="G54" s="16">
        <f>IFERROR('[1]R-2010'!L54,"")</f>
        <v>4700</v>
      </c>
      <c r="H54" s="17">
        <f t="shared" si="1"/>
        <v>0</v>
      </c>
      <c r="I54" s="17">
        <f t="shared" si="2"/>
        <v>0</v>
      </c>
      <c r="J54" s="17">
        <f t="shared" si="3"/>
        <v>0</v>
      </c>
    </row>
    <row r="55" spans="1:10" ht="13.5" thickBot="1">
      <c r="A55" s="15" t="str">
        <f>IF('[1]R-2010'!H55&lt;&gt;"","07974082000114","")</f>
        <v>07974082000114</v>
      </c>
      <c r="B55" s="15" t="str">
        <f t="shared" si="0"/>
        <v>07974082000114</v>
      </c>
      <c r="C55" s="15" t="str">
        <f>IFERROR(TEXT(VALUE(SUBSTITUTE(SUBSTITUTE(SUBSTITUTE('[1]R-2010'!H55,".",""),"/",""),"-","")),"00000000000"),"")</f>
        <v>27467105000101</v>
      </c>
      <c r="D55" s="5">
        <f>IFERROR('[1]R-2010'!J55,"")</f>
        <v>45748</v>
      </c>
      <c r="E55" s="15" t="str">
        <f>""</f>
        <v/>
      </c>
      <c r="F55" s="15"/>
      <c r="G55" s="16">
        <f>IFERROR('[1]R-2010'!L55,"")</f>
        <v>12817.71</v>
      </c>
      <c r="H55" s="17">
        <f t="shared" si="1"/>
        <v>0</v>
      </c>
      <c r="I55" s="17">
        <f t="shared" si="2"/>
        <v>0</v>
      </c>
      <c r="J55" s="17">
        <f t="shared" si="3"/>
        <v>0</v>
      </c>
    </row>
    <row r="56" spans="1:10" ht="13.5" thickBot="1">
      <c r="A56" s="15" t="str">
        <f>IF('[1]R-2010'!H56&lt;&gt;"","07974082000114","")</f>
        <v>07974082000114</v>
      </c>
      <c r="B56" s="15" t="str">
        <f t="shared" si="0"/>
        <v>07974082000114</v>
      </c>
      <c r="C56" s="15" t="str">
        <f>IFERROR(TEXT(VALUE(SUBSTITUTE(SUBSTITUTE(SUBSTITUTE('[1]R-2010'!H56,".",""),"/",""),"-","")),"00000000000"),"")</f>
        <v>22594152000100</v>
      </c>
      <c r="D56" s="5">
        <f>IFERROR('[1]R-2010'!J56,"")</f>
        <v>45748</v>
      </c>
      <c r="E56" s="15" t="str">
        <f>""</f>
        <v/>
      </c>
      <c r="F56" s="15"/>
      <c r="G56" s="16">
        <f>IFERROR('[1]R-2010'!L56,"")</f>
        <v>25000</v>
      </c>
      <c r="H56" s="17">
        <f t="shared" si="1"/>
        <v>0</v>
      </c>
      <c r="I56" s="17">
        <f t="shared" si="2"/>
        <v>0</v>
      </c>
      <c r="J56" s="17">
        <f t="shared" si="3"/>
        <v>0</v>
      </c>
    </row>
    <row r="57" spans="1:10" ht="13.5" thickBot="1">
      <c r="A57" s="15" t="str">
        <f>IF('[1]R-2010'!H57&lt;&gt;"","07974082000114","")</f>
        <v>07974082000114</v>
      </c>
      <c r="B57" s="15" t="str">
        <f t="shared" si="0"/>
        <v>07974082000114</v>
      </c>
      <c r="C57" s="15" t="str">
        <f>IFERROR(TEXT(VALUE(SUBSTITUTE(SUBSTITUTE(SUBSTITUTE('[1]R-2010'!H57,".",""),"/",""),"-","")),"00000000000"),"")</f>
        <v>3420933000126</v>
      </c>
      <c r="D57" s="5">
        <f>IFERROR('[1]R-2010'!J57,"")</f>
        <v>45748</v>
      </c>
      <c r="E57" s="15" t="str">
        <f>""</f>
        <v/>
      </c>
      <c r="F57" s="15"/>
      <c r="G57" s="16">
        <f>IFERROR('[1]R-2010'!L57,"")</f>
        <v>1764.63</v>
      </c>
      <c r="H57" s="17">
        <f t="shared" si="1"/>
        <v>0</v>
      </c>
      <c r="I57" s="17">
        <f t="shared" si="2"/>
        <v>0</v>
      </c>
      <c r="J57" s="17">
        <f t="shared" si="3"/>
        <v>0</v>
      </c>
    </row>
    <row r="58" spans="1:10" ht="13.5" thickBot="1">
      <c r="A58" s="15" t="str">
        <f>IF('[1]R-2010'!H58&lt;&gt;"","07974082000114","")</f>
        <v>07974082000114</v>
      </c>
      <c r="B58" s="15" t="str">
        <f t="shared" si="0"/>
        <v>07974082000114</v>
      </c>
      <c r="C58" s="15" t="str">
        <f>IFERROR(TEXT(VALUE(SUBSTITUTE(SUBSTITUTE(SUBSTITUTE('[1]R-2010'!H58,".",""),"/",""),"-","")),"00000000000"),"")</f>
        <v>2130122000128</v>
      </c>
      <c r="D58" s="5">
        <f>IFERROR('[1]R-2010'!J58,"")</f>
        <v>45748</v>
      </c>
      <c r="E58" s="15" t="str">
        <f>""</f>
        <v/>
      </c>
      <c r="F58" s="15"/>
      <c r="G58" s="16">
        <f>IFERROR('[1]R-2010'!L58,"")</f>
        <v>1150</v>
      </c>
      <c r="H58" s="17">
        <f t="shared" si="1"/>
        <v>0</v>
      </c>
      <c r="I58" s="17">
        <f t="shared" si="2"/>
        <v>0</v>
      </c>
      <c r="J58" s="17">
        <f t="shared" si="3"/>
        <v>0</v>
      </c>
    </row>
    <row r="59" spans="1:10" ht="13.5" thickBot="1">
      <c r="A59" s="15" t="str">
        <f>IF('[1]R-2010'!H59&lt;&gt;"","07974082000114","")</f>
        <v>07974082000114</v>
      </c>
      <c r="B59" s="15" t="str">
        <f t="shared" si="0"/>
        <v>07974082000114</v>
      </c>
      <c r="C59" s="15" t="str">
        <f>IFERROR(TEXT(VALUE(SUBSTITUTE(SUBSTITUTE(SUBSTITUTE('[1]R-2010'!H59,".",""),"/",""),"-","")),"00000000000"),"")</f>
        <v>27298172000140</v>
      </c>
      <c r="D59" s="5">
        <f>IFERROR('[1]R-2010'!J59,"")</f>
        <v>45748</v>
      </c>
      <c r="E59" s="15" t="str">
        <f>""</f>
        <v/>
      </c>
      <c r="F59" s="15"/>
      <c r="G59" s="16">
        <f>IFERROR('[1]R-2010'!L59,"")</f>
        <v>11920</v>
      </c>
      <c r="H59" s="17">
        <f t="shared" si="1"/>
        <v>0</v>
      </c>
      <c r="I59" s="17">
        <f t="shared" si="2"/>
        <v>0</v>
      </c>
      <c r="J59" s="17">
        <f t="shared" si="3"/>
        <v>0</v>
      </c>
    </row>
    <row r="60" spans="1:10" ht="13.5" thickBot="1">
      <c r="A60" s="15" t="str">
        <f>IF('[1]R-2010'!H60&lt;&gt;"","07974082000114","")</f>
        <v>07974082000114</v>
      </c>
      <c r="B60" s="15" t="str">
        <f t="shared" si="0"/>
        <v>07974082000114</v>
      </c>
      <c r="C60" s="15" t="str">
        <f>IFERROR(TEXT(VALUE(SUBSTITUTE(SUBSTITUTE(SUBSTITUTE('[1]R-2010'!H60,".",""),"/",""),"-","")),"00000000000"),"")</f>
        <v>27298172000140</v>
      </c>
      <c r="D60" s="5">
        <f>IFERROR('[1]R-2010'!J60,"")</f>
        <v>45748</v>
      </c>
      <c r="E60" s="15" t="str">
        <f>""</f>
        <v/>
      </c>
      <c r="F60" s="15"/>
      <c r="G60" s="16">
        <f>IFERROR('[1]R-2010'!L60,"")</f>
        <v>43063.040000000001</v>
      </c>
      <c r="H60" s="17">
        <f t="shared" si="1"/>
        <v>0</v>
      </c>
      <c r="I60" s="17">
        <f t="shared" si="2"/>
        <v>0</v>
      </c>
      <c r="J60" s="17">
        <f t="shared" si="3"/>
        <v>0</v>
      </c>
    </row>
    <row r="61" spans="1:10" ht="13.5" thickBot="1">
      <c r="A61" s="15" t="str">
        <f>IF('[1]R-2010'!H61&lt;&gt;"","07974082000114","")</f>
        <v>07974082000114</v>
      </c>
      <c r="B61" s="15" t="str">
        <f t="shared" si="0"/>
        <v>07974082000114</v>
      </c>
      <c r="C61" s="15" t="str">
        <f>IFERROR(TEXT(VALUE(SUBSTITUTE(SUBSTITUTE(SUBSTITUTE('[1]R-2010'!H61,".",""),"/",""),"-","")),"00000000000"),"")</f>
        <v>9170079000173</v>
      </c>
      <c r="D61" s="5">
        <f>IFERROR('[1]R-2010'!J61,"")</f>
        <v>45778</v>
      </c>
      <c r="E61" s="15" t="str">
        <f>""</f>
        <v/>
      </c>
      <c r="F61" s="15"/>
      <c r="G61" s="16">
        <f>IFERROR('[1]R-2010'!L61,"")</f>
        <v>22276.400000000001</v>
      </c>
      <c r="H61" s="17">
        <f t="shared" si="1"/>
        <v>0</v>
      </c>
      <c r="I61" s="17">
        <f t="shared" si="2"/>
        <v>0</v>
      </c>
      <c r="J61" s="17">
        <f t="shared" si="3"/>
        <v>0</v>
      </c>
    </row>
    <row r="62" spans="1:10" ht="13.5" thickBot="1">
      <c r="A62" s="15" t="str">
        <f>IF('[1]R-2010'!H62&lt;&gt;"","07974082000114","")</f>
        <v>07974082000114</v>
      </c>
      <c r="B62" s="15" t="str">
        <f t="shared" si="0"/>
        <v>07974082000114</v>
      </c>
      <c r="C62" s="15" t="str">
        <f>IFERROR(TEXT(VALUE(SUBSTITUTE(SUBSTITUTE(SUBSTITUTE('[1]R-2010'!H62,".",""),"/",""),"-","")),"00000000000"),"")</f>
        <v>30994850000113</v>
      </c>
      <c r="D62" s="5">
        <f>IFERROR('[1]R-2010'!J62,"")</f>
        <v>45778</v>
      </c>
      <c r="E62" s="15" t="str">
        <f>""</f>
        <v/>
      </c>
      <c r="F62" s="15"/>
      <c r="G62" s="16">
        <f>IFERROR('[1]R-2010'!L62,"")</f>
        <v>500000</v>
      </c>
      <c r="H62" s="17">
        <f t="shared" si="1"/>
        <v>0</v>
      </c>
      <c r="I62" s="17">
        <f t="shared" si="2"/>
        <v>0</v>
      </c>
      <c r="J62" s="17">
        <f t="shared" si="3"/>
        <v>0</v>
      </c>
    </row>
    <row r="63" spans="1:10" ht="13.5" thickBot="1">
      <c r="A63" s="15" t="str">
        <f>IF('[1]R-2010'!H63&lt;&gt;"","07974082000114","")</f>
        <v>07974082000114</v>
      </c>
      <c r="B63" s="15" t="str">
        <f t="shared" si="0"/>
        <v>07974082000114</v>
      </c>
      <c r="C63" s="15" t="str">
        <f>IFERROR(TEXT(VALUE(SUBSTITUTE(SUBSTITUTE(SUBSTITUTE('[1]R-2010'!H63,".",""),"/",""),"-","")),"00000000000"),"")</f>
        <v>22594152000100</v>
      </c>
      <c r="D63" s="5">
        <f>IFERROR('[1]R-2010'!J63,"")</f>
        <v>45778</v>
      </c>
      <c r="E63" s="15" t="str">
        <f>""</f>
        <v/>
      </c>
      <c r="F63" s="15"/>
      <c r="G63" s="16">
        <f>IFERROR('[1]R-2010'!L63,"")</f>
        <v>599.4</v>
      </c>
      <c r="H63" s="17">
        <f t="shared" si="1"/>
        <v>0</v>
      </c>
      <c r="I63" s="17">
        <f t="shared" si="2"/>
        <v>0</v>
      </c>
      <c r="J63" s="17">
        <f t="shared" si="3"/>
        <v>0</v>
      </c>
    </row>
    <row r="64" spans="1:10" ht="13.5" thickBot="1">
      <c r="A64" s="15" t="str">
        <f>IF('[1]R-2010'!H64&lt;&gt;"","07974082000114","")</f>
        <v>07974082000114</v>
      </c>
      <c r="B64" s="15" t="str">
        <f t="shared" si="0"/>
        <v>07974082000114</v>
      </c>
      <c r="C64" s="15" t="str">
        <f>IFERROR(TEXT(VALUE(SUBSTITUTE(SUBSTITUTE(SUBSTITUTE('[1]R-2010'!H64,".",""),"/",""),"-","")),"00000000000"),"")</f>
        <v>22594152000100</v>
      </c>
      <c r="D64" s="5">
        <f>IFERROR('[1]R-2010'!J64,"")</f>
        <v>45778</v>
      </c>
      <c r="E64" s="15" t="str">
        <f>""</f>
        <v/>
      </c>
      <c r="F64" s="15"/>
      <c r="G64" s="16">
        <f>IFERROR('[1]R-2010'!L64,"")</f>
        <v>14089.7</v>
      </c>
      <c r="H64" s="17">
        <f t="shared" si="1"/>
        <v>0</v>
      </c>
      <c r="I64" s="17">
        <f t="shared" si="2"/>
        <v>0</v>
      </c>
      <c r="J64" s="17">
        <f t="shared" si="3"/>
        <v>0</v>
      </c>
    </row>
    <row r="65" spans="1:10" ht="13.5" thickBot="1">
      <c r="A65" s="15" t="str">
        <f>IF('[1]R-2010'!H65&lt;&gt;"","07974082000114","")</f>
        <v>07974082000114</v>
      </c>
      <c r="B65" s="15" t="str">
        <f t="shared" si="0"/>
        <v>07974082000114</v>
      </c>
      <c r="C65" s="15" t="str">
        <f>IFERROR(TEXT(VALUE(SUBSTITUTE(SUBSTITUTE(SUBSTITUTE('[1]R-2010'!H65,".",""),"/",""),"-","")),"00000000000"),"")</f>
        <v>22594152000100</v>
      </c>
      <c r="D65" s="5">
        <f>IFERROR('[1]R-2010'!J65,"")</f>
        <v>45778</v>
      </c>
      <c r="E65" s="15" t="str">
        <f>""</f>
        <v/>
      </c>
      <c r="F65" s="15"/>
      <c r="G65" s="16">
        <f>IFERROR('[1]R-2010'!L65,"")</f>
        <v>14526.1</v>
      </c>
      <c r="H65" s="17">
        <f t="shared" si="1"/>
        <v>0</v>
      </c>
      <c r="I65" s="17">
        <f t="shared" si="2"/>
        <v>0</v>
      </c>
      <c r="J65" s="17">
        <f t="shared" si="3"/>
        <v>0</v>
      </c>
    </row>
    <row r="66" spans="1:10" ht="13.5" thickBot="1">
      <c r="A66" s="15" t="str">
        <f>IF('[1]R-2010'!H66&lt;&gt;"","07974082000114","")</f>
        <v>07974082000114</v>
      </c>
      <c r="B66" s="15" t="str">
        <f t="shared" si="0"/>
        <v>07974082000114</v>
      </c>
      <c r="C66" s="15" t="str">
        <f>IFERROR(TEXT(VALUE(SUBSTITUTE(SUBSTITUTE(SUBSTITUTE('[1]R-2010'!H66,".",""),"/",""),"-","")),"00000000000"),"")</f>
        <v>69374585000106</v>
      </c>
      <c r="D66" s="5">
        <f>IFERROR('[1]R-2010'!J66,"")</f>
        <v>45778</v>
      </c>
      <c r="E66" s="15" t="str">
        <f>""</f>
        <v/>
      </c>
      <c r="F66" s="15"/>
      <c r="G66" s="16">
        <f>IFERROR('[1]R-2010'!L66,"")</f>
        <v>564185.99</v>
      </c>
      <c r="H66" s="17">
        <f t="shared" si="1"/>
        <v>0</v>
      </c>
      <c r="I66" s="17">
        <f t="shared" si="2"/>
        <v>0</v>
      </c>
      <c r="J66" s="17">
        <f t="shared" si="3"/>
        <v>0</v>
      </c>
    </row>
    <row r="67" spans="1:10" ht="13.5" thickBot="1">
      <c r="A67" s="15" t="str">
        <f>IF('[1]R-2010'!H67&lt;&gt;"","07974082000114","")</f>
        <v>07974082000114</v>
      </c>
      <c r="B67" s="15" t="str">
        <f t="shared" ref="B67:B130" si="4">IF(A67&lt;&gt;"",A67,"")</f>
        <v>07974082000114</v>
      </c>
      <c r="C67" s="15" t="str">
        <f>IFERROR(TEXT(VALUE(SUBSTITUTE(SUBSTITUTE(SUBSTITUTE('[1]R-2010'!H67,".",""),"/",""),"-","")),"00000000000"),"")</f>
        <v>15676890000123</v>
      </c>
      <c r="D67" s="5">
        <f>IFERROR('[1]R-2010'!J67,"")</f>
        <v>45778</v>
      </c>
      <c r="E67" s="15" t="str">
        <f>""</f>
        <v/>
      </c>
      <c r="F67" s="15"/>
      <c r="G67" s="16">
        <f>IFERROR('[1]R-2010'!L67,"")</f>
        <v>94426.35</v>
      </c>
      <c r="H67" s="17">
        <f t="shared" ref="H67:H130" si="5">IF(C67&lt;&gt;"",0,"")</f>
        <v>0</v>
      </c>
      <c r="I67" s="17">
        <f t="shared" ref="I67:I130" si="6">IF(C67&lt;&gt;"",0,"")</f>
        <v>0</v>
      </c>
      <c r="J67" s="17">
        <f t="shared" ref="J67:J130" si="7">IF(C67&lt;&gt;"",0,"")</f>
        <v>0</v>
      </c>
    </row>
    <row r="68" spans="1:10" ht="13.5" thickBot="1">
      <c r="A68" s="15" t="str">
        <f>IF('[1]R-2010'!H68&lt;&gt;"","07974082000114","")</f>
        <v>07974082000114</v>
      </c>
      <c r="B68" s="15" t="str">
        <f t="shared" si="4"/>
        <v>07974082000114</v>
      </c>
      <c r="C68" s="15" t="str">
        <f>IFERROR(TEXT(VALUE(SUBSTITUTE(SUBSTITUTE(SUBSTITUTE('[1]R-2010'!H68,".",""),"/",""),"-","")),"00000000000"),"")</f>
        <v>15676890000123</v>
      </c>
      <c r="D68" s="5">
        <f>IFERROR('[1]R-2010'!J68,"")</f>
        <v>45778</v>
      </c>
      <c r="E68" s="15" t="str">
        <f>""</f>
        <v/>
      </c>
      <c r="F68" s="15"/>
      <c r="G68" s="16">
        <f>IFERROR('[1]R-2010'!L68,"")</f>
        <v>95914.05</v>
      </c>
      <c r="H68" s="17">
        <f t="shared" si="5"/>
        <v>0</v>
      </c>
      <c r="I68" s="17">
        <f t="shared" si="6"/>
        <v>0</v>
      </c>
      <c r="J68" s="17">
        <f t="shared" si="7"/>
        <v>0</v>
      </c>
    </row>
    <row r="69" spans="1:10" ht="13.5" thickBot="1">
      <c r="A69" s="15" t="str">
        <f>IF('[1]R-2010'!H69&lt;&gt;"","07974082000114","")</f>
        <v>07974082000114</v>
      </c>
      <c r="B69" s="15" t="str">
        <f t="shared" si="4"/>
        <v>07974082000114</v>
      </c>
      <c r="C69" s="15" t="str">
        <f>IFERROR(TEXT(VALUE(SUBSTITUTE(SUBSTITUTE(SUBSTITUTE('[1]R-2010'!H69,".",""),"/",""),"-","")),"00000000000"),"")</f>
        <v>27298172000140</v>
      </c>
      <c r="D69" s="5">
        <f>IFERROR('[1]R-2010'!J69,"")</f>
        <v>45778</v>
      </c>
      <c r="E69" s="15" t="str">
        <f>""</f>
        <v/>
      </c>
      <c r="F69" s="15"/>
      <c r="G69" s="16">
        <f>IFERROR('[1]R-2010'!L69,"")</f>
        <v>11920</v>
      </c>
      <c r="H69" s="17">
        <f t="shared" si="5"/>
        <v>0</v>
      </c>
      <c r="I69" s="17">
        <f t="shared" si="6"/>
        <v>0</v>
      </c>
      <c r="J69" s="17">
        <f t="shared" si="7"/>
        <v>0</v>
      </c>
    </row>
    <row r="70" spans="1:10" ht="13.5" thickBot="1">
      <c r="A70" s="15" t="str">
        <f>IF('[1]R-2010'!H70&lt;&gt;"","07974082000114","")</f>
        <v>07974082000114</v>
      </c>
      <c r="B70" s="15" t="str">
        <f t="shared" si="4"/>
        <v>07974082000114</v>
      </c>
      <c r="C70" s="15" t="str">
        <f>IFERROR(TEXT(VALUE(SUBSTITUTE(SUBSTITUTE(SUBSTITUTE('[1]R-2010'!H70,".",""),"/",""),"-","")),"00000000000"),"")</f>
        <v>27298172000140</v>
      </c>
      <c r="D70" s="5">
        <f>IFERROR('[1]R-2010'!J70,"")</f>
        <v>45778</v>
      </c>
      <c r="E70" s="15" t="str">
        <f>""</f>
        <v/>
      </c>
      <c r="F70" s="15"/>
      <c r="G70" s="16">
        <f>IFERROR('[1]R-2010'!L70,"")</f>
        <v>71060</v>
      </c>
      <c r="H70" s="17">
        <f t="shared" si="5"/>
        <v>0</v>
      </c>
      <c r="I70" s="17">
        <f t="shared" si="6"/>
        <v>0</v>
      </c>
      <c r="J70" s="17">
        <f t="shared" si="7"/>
        <v>0</v>
      </c>
    </row>
    <row r="71" spans="1:10" ht="13.5" thickBot="1">
      <c r="A71" s="15" t="str">
        <f>IF('[1]R-2010'!H71&lt;&gt;"","07974082000114","")</f>
        <v>07974082000114</v>
      </c>
      <c r="B71" s="15" t="str">
        <f t="shared" si="4"/>
        <v>07974082000114</v>
      </c>
      <c r="C71" s="15" t="str">
        <f>IFERROR(TEXT(VALUE(SUBSTITUTE(SUBSTITUTE(SUBSTITUTE('[1]R-2010'!H71,".",""),"/",""),"-","")),"00000000000"),"")</f>
        <v>30994850000113</v>
      </c>
      <c r="D71" s="5">
        <f>IFERROR('[1]R-2010'!J71,"")</f>
        <v>45778</v>
      </c>
      <c r="E71" s="15" t="str">
        <f>""</f>
        <v/>
      </c>
      <c r="F71" s="15"/>
      <c r="G71" s="16">
        <f>IFERROR('[1]R-2010'!L71,"")</f>
        <v>389588.28</v>
      </c>
      <c r="H71" s="17">
        <f t="shared" si="5"/>
        <v>0</v>
      </c>
      <c r="I71" s="17">
        <f t="shared" si="6"/>
        <v>0</v>
      </c>
      <c r="J71" s="17">
        <f t="shared" si="7"/>
        <v>0</v>
      </c>
    </row>
    <row r="72" spans="1:10" ht="13.5" thickBot="1">
      <c r="A72" s="15" t="str">
        <f>IF('[1]R-2010'!H72&lt;&gt;"","07974082000114","")</f>
        <v>07974082000114</v>
      </c>
      <c r="B72" s="15" t="str">
        <f t="shared" si="4"/>
        <v>07974082000114</v>
      </c>
      <c r="C72" s="15" t="str">
        <f>IFERROR(TEXT(VALUE(SUBSTITUTE(SUBSTITUTE(SUBSTITUTE('[1]R-2010'!H72,".",""),"/",""),"-","")),"00000000000"),"")</f>
        <v>24525971000113</v>
      </c>
      <c r="D72" s="5">
        <f>IFERROR('[1]R-2010'!J72,"")</f>
        <v>45778</v>
      </c>
      <c r="E72" s="15" t="str">
        <f>""</f>
        <v/>
      </c>
      <c r="F72" s="15"/>
      <c r="G72" s="16">
        <f>IFERROR('[1]R-2010'!L72,"")</f>
        <v>8673.2099999999991</v>
      </c>
      <c r="H72" s="17">
        <f t="shared" si="5"/>
        <v>0</v>
      </c>
      <c r="I72" s="17">
        <f t="shared" si="6"/>
        <v>0</v>
      </c>
      <c r="J72" s="17">
        <f t="shared" si="7"/>
        <v>0</v>
      </c>
    </row>
    <row r="73" spans="1:10" ht="13.5" thickBot="1">
      <c r="A73" s="15" t="str">
        <f>IF('[1]R-2010'!H73&lt;&gt;"","07974082000114","")</f>
        <v>07974082000114</v>
      </c>
      <c r="B73" s="15" t="str">
        <f t="shared" si="4"/>
        <v>07974082000114</v>
      </c>
      <c r="C73" s="15" t="str">
        <f>IFERROR(TEXT(VALUE(SUBSTITUTE(SUBSTITUTE(SUBSTITUTE('[1]R-2010'!H73,".",""),"/",""),"-","")),"00000000000"),"")</f>
        <v>24525971000113</v>
      </c>
      <c r="D73" s="5">
        <f>IFERROR('[1]R-2010'!J73,"")</f>
        <v>45778</v>
      </c>
      <c r="E73" s="15" t="str">
        <f>""</f>
        <v/>
      </c>
      <c r="F73" s="15"/>
      <c r="G73" s="16">
        <f>IFERROR('[1]R-2010'!L73,"")</f>
        <v>34692.839999999997</v>
      </c>
      <c r="H73" s="17">
        <f t="shared" si="5"/>
        <v>0</v>
      </c>
      <c r="I73" s="17">
        <f t="shared" si="6"/>
        <v>0</v>
      </c>
      <c r="J73" s="17">
        <f t="shared" si="7"/>
        <v>0</v>
      </c>
    </row>
    <row r="74" spans="1:10" ht="13.5" thickBot="1">
      <c r="A74" s="15" t="str">
        <f>IF('[1]R-2010'!H74&lt;&gt;"","07974082000114","")</f>
        <v>07974082000114</v>
      </c>
      <c r="B74" s="15" t="str">
        <f t="shared" si="4"/>
        <v>07974082000114</v>
      </c>
      <c r="C74" s="15" t="str">
        <f>IFERROR(TEXT(VALUE(SUBSTITUTE(SUBSTITUTE(SUBSTITUTE('[1]R-2010'!H74,".",""),"/",""),"-","")),"00000000000"),"")</f>
        <v>24525971000113</v>
      </c>
      <c r="D74" s="5">
        <f>IFERROR('[1]R-2010'!J74,"")</f>
        <v>45778</v>
      </c>
      <c r="E74" s="15" t="str">
        <f>""</f>
        <v/>
      </c>
      <c r="F74" s="15"/>
      <c r="G74" s="16">
        <f>IFERROR('[1]R-2010'!L74,"")</f>
        <v>43366.05</v>
      </c>
      <c r="H74" s="17">
        <f t="shared" si="5"/>
        <v>0</v>
      </c>
      <c r="I74" s="17">
        <f t="shared" si="6"/>
        <v>0</v>
      </c>
      <c r="J74" s="17">
        <f t="shared" si="7"/>
        <v>0</v>
      </c>
    </row>
    <row r="75" spans="1:10" ht="13.5" thickBot="1">
      <c r="A75" s="15" t="str">
        <f>IF('[1]R-2010'!H75&lt;&gt;"","07974082000114","")</f>
        <v>07974082000114</v>
      </c>
      <c r="B75" s="15" t="str">
        <f t="shared" si="4"/>
        <v>07974082000114</v>
      </c>
      <c r="C75" s="15" t="str">
        <f>IFERROR(TEXT(VALUE(SUBSTITUTE(SUBSTITUTE(SUBSTITUTE('[1]R-2010'!H75,".",""),"/",""),"-","")),"00000000000"),"")</f>
        <v>2130122000128</v>
      </c>
      <c r="D75" s="5">
        <f>IFERROR('[1]R-2010'!J75,"")</f>
        <v>45778</v>
      </c>
      <c r="E75" s="15" t="str">
        <f>""</f>
        <v/>
      </c>
      <c r="F75" s="15"/>
      <c r="G75" s="16">
        <f>IFERROR('[1]R-2010'!L75,"")</f>
        <v>1150</v>
      </c>
      <c r="H75" s="17">
        <f t="shared" si="5"/>
        <v>0</v>
      </c>
      <c r="I75" s="17">
        <f t="shared" si="6"/>
        <v>0</v>
      </c>
      <c r="J75" s="17">
        <f t="shared" si="7"/>
        <v>0</v>
      </c>
    </row>
    <row r="76" spans="1:10" ht="13.5" thickBot="1">
      <c r="A76" s="15" t="str">
        <f>IF('[1]R-2010'!H76&lt;&gt;"","07974082000114","")</f>
        <v>07974082000114</v>
      </c>
      <c r="B76" s="15" t="str">
        <f t="shared" si="4"/>
        <v>07974082000114</v>
      </c>
      <c r="C76" s="15" t="str">
        <f>IFERROR(TEXT(VALUE(SUBSTITUTE(SUBSTITUTE(SUBSTITUTE('[1]R-2010'!H76,".",""),"/",""),"-","")),"00000000000"),"")</f>
        <v>30994850000113</v>
      </c>
      <c r="D76" s="5">
        <f>IFERROR('[1]R-2010'!J76,"")</f>
        <v>45778</v>
      </c>
      <c r="E76" s="15" t="str">
        <f>""</f>
        <v/>
      </c>
      <c r="F76" s="15"/>
      <c r="G76" s="16">
        <f>IFERROR('[1]R-2010'!L76,"")</f>
        <v>150000</v>
      </c>
      <c r="H76" s="17">
        <f t="shared" si="5"/>
        <v>0</v>
      </c>
      <c r="I76" s="17">
        <f t="shared" si="6"/>
        <v>0</v>
      </c>
      <c r="J76" s="17">
        <f t="shared" si="7"/>
        <v>0</v>
      </c>
    </row>
    <row r="77" spans="1:10" ht="13.5" thickBot="1">
      <c r="A77" s="15" t="str">
        <f>IF('[1]R-2010'!H77&lt;&gt;"","07974082000114","")</f>
        <v>07974082000114</v>
      </c>
      <c r="B77" s="15" t="str">
        <f t="shared" si="4"/>
        <v>07974082000114</v>
      </c>
      <c r="C77" s="15" t="str">
        <f>IFERROR(TEXT(VALUE(SUBSTITUTE(SUBSTITUTE(SUBSTITUTE('[1]R-2010'!H77,".",""),"/",""),"-","")),"00000000000"),"")</f>
        <v>22594152000100</v>
      </c>
      <c r="D77" s="5">
        <f>IFERROR('[1]R-2010'!J77,"")</f>
        <v>45778</v>
      </c>
      <c r="E77" s="15" t="str">
        <f>""</f>
        <v/>
      </c>
      <c r="F77" s="15"/>
      <c r="G77" s="16">
        <f>IFERROR('[1]R-2010'!L77,"")</f>
        <v>15926.94</v>
      </c>
      <c r="H77" s="17">
        <f t="shared" si="5"/>
        <v>0</v>
      </c>
      <c r="I77" s="17">
        <f t="shared" si="6"/>
        <v>0</v>
      </c>
      <c r="J77" s="17">
        <f t="shared" si="7"/>
        <v>0</v>
      </c>
    </row>
    <row r="78" spans="1:10" ht="13.5" thickBot="1">
      <c r="A78" s="15" t="str">
        <f>IF('[1]R-2010'!H78&lt;&gt;"","07974082000114","")</f>
        <v>07974082000114</v>
      </c>
      <c r="B78" s="15" t="str">
        <f t="shared" si="4"/>
        <v>07974082000114</v>
      </c>
      <c r="C78" s="15" t="str">
        <f>IFERROR(TEXT(VALUE(SUBSTITUTE(SUBSTITUTE(SUBSTITUTE('[1]R-2010'!H78,".",""),"/",""),"-","")),"00000000000"),"")</f>
        <v>40039126000194</v>
      </c>
      <c r="D78" s="5">
        <f>IFERROR('[1]R-2010'!J78,"")</f>
        <v>45778</v>
      </c>
      <c r="E78" s="15" t="str">
        <f>""</f>
        <v/>
      </c>
      <c r="F78" s="15"/>
      <c r="G78" s="16">
        <f>IFERROR('[1]R-2010'!L78,"")</f>
        <v>2100887.0099999998</v>
      </c>
      <c r="H78" s="17">
        <f t="shared" si="5"/>
        <v>0</v>
      </c>
      <c r="I78" s="17">
        <f t="shared" si="6"/>
        <v>0</v>
      </c>
      <c r="J78" s="17">
        <f t="shared" si="7"/>
        <v>0</v>
      </c>
    </row>
    <row r="79" spans="1:10" ht="13.5" thickBot="1">
      <c r="A79" s="15" t="str">
        <f>IF('[1]R-2010'!H79&lt;&gt;"","07974082000114","")</f>
        <v>07974082000114</v>
      </c>
      <c r="B79" s="15" t="str">
        <f t="shared" si="4"/>
        <v>07974082000114</v>
      </c>
      <c r="C79" s="15" t="str">
        <f>IFERROR(TEXT(VALUE(SUBSTITUTE(SUBSTITUTE(SUBSTITUTE('[1]R-2010'!H79,".",""),"/",""),"-","")),"00000000000"),"")</f>
        <v>9170079000173</v>
      </c>
      <c r="D79" s="5">
        <f>IFERROR('[1]R-2010'!J79,"")</f>
        <v>45809</v>
      </c>
      <c r="E79" s="15" t="str">
        <f>""</f>
        <v/>
      </c>
      <c r="F79" s="15"/>
      <c r="G79" s="16">
        <f>IFERROR('[1]R-2010'!L79,"")</f>
        <v>22276.400000000001</v>
      </c>
      <c r="H79" s="17">
        <f t="shared" si="5"/>
        <v>0</v>
      </c>
      <c r="I79" s="17">
        <f t="shared" si="6"/>
        <v>0</v>
      </c>
      <c r="J79" s="17">
        <f t="shared" si="7"/>
        <v>0</v>
      </c>
    </row>
    <row r="80" spans="1:10" ht="13.5" thickBot="1">
      <c r="A80" s="15" t="str">
        <f>IF('[1]R-2010'!H80&lt;&gt;"","07974082000114","")</f>
        <v>07974082000114</v>
      </c>
      <c r="B80" s="15" t="str">
        <f t="shared" si="4"/>
        <v>07974082000114</v>
      </c>
      <c r="C80" s="15" t="str">
        <f>IFERROR(TEXT(VALUE(SUBSTITUTE(SUBSTITUTE(SUBSTITUTE('[1]R-2010'!H80,".",""),"/",""),"-","")),"00000000000"),"")</f>
        <v>30994850000113</v>
      </c>
      <c r="D80" s="5">
        <f>IFERROR('[1]R-2010'!J80,"")</f>
        <v>45809</v>
      </c>
      <c r="E80" s="15" t="str">
        <f>""</f>
        <v/>
      </c>
      <c r="F80" s="15"/>
      <c r="G80" s="16">
        <f>IFERROR('[1]R-2010'!L80,"")</f>
        <v>80265.2</v>
      </c>
      <c r="H80" s="17">
        <f t="shared" si="5"/>
        <v>0</v>
      </c>
      <c r="I80" s="17">
        <f t="shared" si="6"/>
        <v>0</v>
      </c>
      <c r="J80" s="17">
        <f t="shared" si="7"/>
        <v>0</v>
      </c>
    </row>
    <row r="81" spans="1:10" ht="13.5" thickBot="1">
      <c r="A81" s="15" t="str">
        <f>IF('[1]R-2010'!H81&lt;&gt;"","07974082000114","")</f>
        <v>07974082000114</v>
      </c>
      <c r="B81" s="15" t="str">
        <f t="shared" si="4"/>
        <v>07974082000114</v>
      </c>
      <c r="C81" s="15" t="str">
        <f>IFERROR(TEXT(VALUE(SUBSTITUTE(SUBSTITUTE(SUBSTITUTE('[1]R-2010'!H81,".",""),"/",""),"-","")),"00000000000"),"")</f>
        <v>41332445000156</v>
      </c>
      <c r="D81" s="5">
        <f>IFERROR('[1]R-2010'!J81,"")</f>
        <v>45809</v>
      </c>
      <c r="E81" s="15" t="str">
        <f>""</f>
        <v/>
      </c>
      <c r="F81" s="15"/>
      <c r="G81" s="16">
        <f>IFERROR('[1]R-2010'!L81,"")</f>
        <v>136244.98000000001</v>
      </c>
      <c r="H81" s="17">
        <f t="shared" si="5"/>
        <v>0</v>
      </c>
      <c r="I81" s="17">
        <f t="shared" si="6"/>
        <v>0</v>
      </c>
      <c r="J81" s="17">
        <f t="shared" si="7"/>
        <v>0</v>
      </c>
    </row>
    <row r="82" spans="1:10" ht="13.5" thickBot="1">
      <c r="A82" s="15" t="str">
        <f>IF('[1]R-2010'!H82&lt;&gt;"","07974082000114","")</f>
        <v>07974082000114</v>
      </c>
      <c r="B82" s="15" t="str">
        <f t="shared" si="4"/>
        <v>07974082000114</v>
      </c>
      <c r="C82" s="15" t="str">
        <f>IFERROR(TEXT(VALUE(SUBSTITUTE(SUBSTITUTE(SUBSTITUTE('[1]R-2010'!H82,".",""),"/",""),"-","")),"00000000000"),"")</f>
        <v>40039126000194</v>
      </c>
      <c r="D82" s="5">
        <f>IFERROR('[1]R-2010'!J82,"")</f>
        <v>45809</v>
      </c>
      <c r="E82" s="15" t="str">
        <f>""</f>
        <v/>
      </c>
      <c r="F82" s="15"/>
      <c r="G82" s="16">
        <f>IFERROR('[1]R-2010'!L82,"")</f>
        <v>12415.46</v>
      </c>
      <c r="H82" s="17">
        <f t="shared" si="5"/>
        <v>0</v>
      </c>
      <c r="I82" s="17">
        <f t="shared" si="6"/>
        <v>0</v>
      </c>
      <c r="J82" s="17">
        <f t="shared" si="7"/>
        <v>0</v>
      </c>
    </row>
    <row r="83" spans="1:10" ht="13.5" thickBot="1">
      <c r="A83" s="15" t="str">
        <f>IF('[1]R-2010'!H83&lt;&gt;"","07974082000114","")</f>
        <v>07974082000114</v>
      </c>
      <c r="B83" s="15" t="str">
        <f t="shared" si="4"/>
        <v>07974082000114</v>
      </c>
      <c r="C83" s="15" t="str">
        <f>IFERROR(TEXT(VALUE(SUBSTITUTE(SUBSTITUTE(SUBSTITUTE('[1]R-2010'!H83,".",""),"/",""),"-","")),"00000000000"),"")</f>
        <v>40039126000194</v>
      </c>
      <c r="D83" s="5">
        <f>IFERROR('[1]R-2010'!J83,"")</f>
        <v>45809</v>
      </c>
      <c r="E83" s="15" t="str">
        <f>""</f>
        <v/>
      </c>
      <c r="F83" s="15"/>
      <c r="G83" s="16">
        <f>IFERROR('[1]R-2010'!L83,"")</f>
        <v>928767.92</v>
      </c>
      <c r="H83" s="17">
        <f t="shared" si="5"/>
        <v>0</v>
      </c>
      <c r="I83" s="17">
        <f t="shared" si="6"/>
        <v>0</v>
      </c>
      <c r="J83" s="17">
        <f t="shared" si="7"/>
        <v>0</v>
      </c>
    </row>
    <row r="84" spans="1:10" ht="13.5" thickBot="1">
      <c r="A84" s="15" t="str">
        <f>IF('[1]R-2010'!H84&lt;&gt;"","07974082000114","")</f>
        <v>07974082000114</v>
      </c>
      <c r="B84" s="15" t="str">
        <f t="shared" si="4"/>
        <v>07974082000114</v>
      </c>
      <c r="C84" s="15" t="str">
        <f>IFERROR(TEXT(VALUE(SUBSTITUTE(SUBSTITUTE(SUBSTITUTE('[1]R-2010'!H84,".",""),"/",""),"-","")),"00000000000"),"")</f>
        <v>3420933000126</v>
      </c>
      <c r="D84" s="5">
        <f>IFERROR('[1]R-2010'!J84,"")</f>
        <v>45809</v>
      </c>
      <c r="E84" s="15" t="str">
        <f>""</f>
        <v/>
      </c>
      <c r="F84" s="15"/>
      <c r="G84" s="16">
        <f>IFERROR('[1]R-2010'!L84,"")</f>
        <v>1185.81</v>
      </c>
      <c r="H84" s="17">
        <f t="shared" si="5"/>
        <v>0</v>
      </c>
      <c r="I84" s="17">
        <f t="shared" si="6"/>
        <v>0</v>
      </c>
      <c r="J84" s="17">
        <f t="shared" si="7"/>
        <v>0</v>
      </c>
    </row>
    <row r="85" spans="1:10" ht="13.5" thickBot="1">
      <c r="A85" s="15" t="str">
        <f>IF('[1]R-2010'!H85&lt;&gt;"","07974082000114","")</f>
        <v>07974082000114</v>
      </c>
      <c r="B85" s="15" t="str">
        <f t="shared" si="4"/>
        <v>07974082000114</v>
      </c>
      <c r="C85" s="15" t="str">
        <f>IFERROR(TEXT(VALUE(SUBSTITUTE(SUBSTITUTE(SUBSTITUTE('[1]R-2010'!H85,".",""),"/",""),"-","")),"00000000000"),"")</f>
        <v>3420933000126</v>
      </c>
      <c r="D85" s="5">
        <f>IFERROR('[1]R-2010'!J85,"")</f>
        <v>45809</v>
      </c>
      <c r="E85" s="15" t="str">
        <f>""</f>
        <v/>
      </c>
      <c r="F85" s="15"/>
      <c r="G85" s="16">
        <f>IFERROR('[1]R-2010'!L85,"")</f>
        <v>1442.27</v>
      </c>
      <c r="H85" s="17">
        <f t="shared" si="5"/>
        <v>0</v>
      </c>
      <c r="I85" s="17">
        <f t="shared" si="6"/>
        <v>0</v>
      </c>
      <c r="J85" s="17">
        <f t="shared" si="7"/>
        <v>0</v>
      </c>
    </row>
    <row r="86" spans="1:10" ht="13.5" thickBot="1">
      <c r="A86" s="15" t="str">
        <f>IF('[1]R-2010'!H86&lt;&gt;"","07974082000114","")</f>
        <v>07974082000114</v>
      </c>
      <c r="B86" s="15" t="str">
        <f t="shared" si="4"/>
        <v>07974082000114</v>
      </c>
      <c r="C86" s="15" t="str">
        <f>IFERROR(TEXT(VALUE(SUBSTITUTE(SUBSTITUTE(SUBSTITUTE('[1]R-2010'!H86,".",""),"/",""),"-","")),"00000000000"),"")</f>
        <v>3420933000126</v>
      </c>
      <c r="D86" s="5">
        <f>IFERROR('[1]R-2010'!J86,"")</f>
        <v>45809</v>
      </c>
      <c r="E86" s="15" t="str">
        <f>""</f>
        <v/>
      </c>
      <c r="F86" s="15"/>
      <c r="G86" s="16">
        <f>IFERROR('[1]R-2010'!L86,"")</f>
        <v>4777.6400000000003</v>
      </c>
      <c r="H86" s="17">
        <f t="shared" si="5"/>
        <v>0</v>
      </c>
      <c r="I86" s="17">
        <f t="shared" si="6"/>
        <v>0</v>
      </c>
      <c r="J86" s="17">
        <f t="shared" si="7"/>
        <v>0</v>
      </c>
    </row>
    <row r="87" spans="1:10" ht="13.5" thickBot="1">
      <c r="A87" s="15" t="str">
        <f>IF('[1]R-2010'!H87&lt;&gt;"","07974082000114","")</f>
        <v>07974082000114</v>
      </c>
      <c r="B87" s="15" t="str">
        <f t="shared" si="4"/>
        <v>07974082000114</v>
      </c>
      <c r="C87" s="15" t="str">
        <f>IFERROR(TEXT(VALUE(SUBSTITUTE(SUBSTITUTE(SUBSTITUTE('[1]R-2010'!H87,".",""),"/",""),"-","")),"00000000000"),"")</f>
        <v>3420933000126</v>
      </c>
      <c r="D87" s="5">
        <f>IFERROR('[1]R-2010'!J87,"")</f>
        <v>45809</v>
      </c>
      <c r="E87" s="15" t="str">
        <f>""</f>
        <v/>
      </c>
      <c r="F87" s="15"/>
      <c r="G87" s="16">
        <f>IFERROR('[1]R-2010'!L87,"")</f>
        <v>4777.6400000000003</v>
      </c>
      <c r="H87" s="17">
        <f t="shared" si="5"/>
        <v>0</v>
      </c>
      <c r="I87" s="17">
        <f t="shared" si="6"/>
        <v>0</v>
      </c>
      <c r="J87" s="17">
        <f t="shared" si="7"/>
        <v>0</v>
      </c>
    </row>
    <row r="88" spans="1:10" ht="13.5" thickBot="1">
      <c r="A88" s="15" t="str">
        <f>IF('[1]R-2010'!H88&lt;&gt;"","07974082000114","")</f>
        <v>07974082000114</v>
      </c>
      <c r="B88" s="15" t="str">
        <f t="shared" si="4"/>
        <v>07974082000114</v>
      </c>
      <c r="C88" s="15" t="str">
        <f>IFERROR(TEXT(VALUE(SUBSTITUTE(SUBSTITUTE(SUBSTITUTE('[1]R-2010'!H88,".",""),"/",""),"-","")),"00000000000"),"")</f>
        <v>3420933000126</v>
      </c>
      <c r="D88" s="5">
        <f>IFERROR('[1]R-2010'!J88,"")</f>
        <v>45809</v>
      </c>
      <c r="E88" s="15" t="str">
        <f>""</f>
        <v/>
      </c>
      <c r="F88" s="15"/>
      <c r="G88" s="16">
        <f>IFERROR('[1]R-2010'!L88,"")</f>
        <v>5002.32</v>
      </c>
      <c r="H88" s="17">
        <f t="shared" si="5"/>
        <v>0</v>
      </c>
      <c r="I88" s="17">
        <f t="shared" si="6"/>
        <v>0</v>
      </c>
      <c r="J88" s="17">
        <f t="shared" si="7"/>
        <v>0</v>
      </c>
    </row>
    <row r="89" spans="1:10" ht="13.5" thickBot="1">
      <c r="A89" s="15" t="str">
        <f>IF('[1]R-2010'!H89&lt;&gt;"","07974082000114","")</f>
        <v>07974082000114</v>
      </c>
      <c r="B89" s="15" t="str">
        <f t="shared" si="4"/>
        <v>07974082000114</v>
      </c>
      <c r="C89" s="15" t="str">
        <f>IFERROR(TEXT(VALUE(SUBSTITUTE(SUBSTITUTE(SUBSTITUTE('[1]R-2010'!H89,".",""),"/",""),"-","")),"00000000000"),"")</f>
        <v>3420933000126</v>
      </c>
      <c r="D89" s="5">
        <f>IFERROR('[1]R-2010'!J89,"")</f>
        <v>45809</v>
      </c>
      <c r="E89" s="15" t="str">
        <f>""</f>
        <v/>
      </c>
      <c r="F89" s="15"/>
      <c r="G89" s="16">
        <f>IFERROR('[1]R-2010'!L89,"")</f>
        <v>5002.32</v>
      </c>
      <c r="H89" s="17">
        <f t="shared" si="5"/>
        <v>0</v>
      </c>
      <c r="I89" s="17">
        <f t="shared" si="6"/>
        <v>0</v>
      </c>
      <c r="J89" s="17">
        <f t="shared" si="7"/>
        <v>0</v>
      </c>
    </row>
    <row r="90" spans="1:10" ht="13.5" thickBot="1">
      <c r="A90" s="15" t="str">
        <f>IF('[1]R-2010'!H90&lt;&gt;"","07974082000114","")</f>
        <v>07974082000114</v>
      </c>
      <c r="B90" s="15" t="str">
        <f t="shared" si="4"/>
        <v>07974082000114</v>
      </c>
      <c r="C90" s="15" t="str">
        <f>IFERROR(TEXT(VALUE(SUBSTITUTE(SUBSTITUTE(SUBSTITUTE('[1]R-2010'!H90,".",""),"/",""),"-","")),"00000000000"),"")</f>
        <v>3420933000126</v>
      </c>
      <c r="D90" s="5">
        <f>IFERROR('[1]R-2010'!J90,"")</f>
        <v>45809</v>
      </c>
      <c r="E90" s="15" t="str">
        <f>""</f>
        <v/>
      </c>
      <c r="F90" s="15"/>
      <c r="G90" s="16">
        <f>IFERROR('[1]R-2010'!L90,"")</f>
        <v>5714.51</v>
      </c>
      <c r="H90" s="17">
        <f t="shared" si="5"/>
        <v>0</v>
      </c>
      <c r="I90" s="17">
        <f t="shared" si="6"/>
        <v>0</v>
      </c>
      <c r="J90" s="17">
        <f t="shared" si="7"/>
        <v>0</v>
      </c>
    </row>
    <row r="91" spans="1:10" ht="13.5" thickBot="1">
      <c r="A91" s="15" t="str">
        <f>IF('[1]R-2010'!H91&lt;&gt;"","07974082000114","")</f>
        <v>07974082000114</v>
      </c>
      <c r="B91" s="15" t="str">
        <f t="shared" si="4"/>
        <v>07974082000114</v>
      </c>
      <c r="C91" s="15" t="str">
        <f>IFERROR(TEXT(VALUE(SUBSTITUTE(SUBSTITUTE(SUBSTITUTE('[1]R-2010'!H91,".",""),"/",""),"-","")),"00000000000"),"")</f>
        <v>3420933000126</v>
      </c>
      <c r="D91" s="5">
        <f>IFERROR('[1]R-2010'!J91,"")</f>
        <v>45809</v>
      </c>
      <c r="E91" s="15" t="str">
        <f>""</f>
        <v/>
      </c>
      <c r="F91" s="15"/>
      <c r="G91" s="16">
        <f>IFERROR('[1]R-2010'!L91,"")</f>
        <v>5714.51</v>
      </c>
      <c r="H91" s="17">
        <f t="shared" si="5"/>
        <v>0</v>
      </c>
      <c r="I91" s="17">
        <f t="shared" si="6"/>
        <v>0</v>
      </c>
      <c r="J91" s="17">
        <f t="shared" si="7"/>
        <v>0</v>
      </c>
    </row>
    <row r="92" spans="1:10" ht="13.5" thickBot="1">
      <c r="A92" s="15" t="str">
        <f>IF('[1]R-2010'!H92&lt;&gt;"","07974082000114","")</f>
        <v>07974082000114</v>
      </c>
      <c r="B92" s="15" t="str">
        <f t="shared" si="4"/>
        <v>07974082000114</v>
      </c>
      <c r="C92" s="15" t="str">
        <f>IFERROR(TEXT(VALUE(SUBSTITUTE(SUBSTITUTE(SUBSTITUTE('[1]R-2010'!H92,".",""),"/",""),"-","")),"00000000000"),"")</f>
        <v>27467105000101</v>
      </c>
      <c r="D92" s="5">
        <f>IFERROR('[1]R-2010'!J92,"")</f>
        <v>45809</v>
      </c>
      <c r="E92" s="15" t="str">
        <f>""</f>
        <v/>
      </c>
      <c r="F92" s="15"/>
      <c r="G92" s="16">
        <f>IFERROR('[1]R-2010'!L92,"")</f>
        <v>25635.42</v>
      </c>
      <c r="H92" s="17">
        <f t="shared" si="5"/>
        <v>0</v>
      </c>
      <c r="I92" s="17">
        <f t="shared" si="6"/>
        <v>0</v>
      </c>
      <c r="J92" s="17">
        <f t="shared" si="7"/>
        <v>0</v>
      </c>
    </row>
    <row r="93" spans="1:10" ht="13.5" thickBot="1">
      <c r="A93" s="15" t="str">
        <f>IF('[1]R-2010'!H93&lt;&gt;"","07974082000114","")</f>
        <v>07974082000114</v>
      </c>
      <c r="B93" s="15" t="str">
        <f t="shared" si="4"/>
        <v>07974082000114</v>
      </c>
      <c r="C93" s="15" t="str">
        <f>IFERROR(TEXT(VALUE(SUBSTITUTE(SUBSTITUTE(SUBSTITUTE('[1]R-2010'!H93,".",""),"/",""),"-","")),"00000000000"),"")</f>
        <v>30994850000113</v>
      </c>
      <c r="D93" s="5">
        <f>IFERROR('[1]R-2010'!J93,"")</f>
        <v>45809</v>
      </c>
      <c r="E93" s="15" t="str">
        <f>""</f>
        <v/>
      </c>
      <c r="F93" s="15"/>
      <c r="G93" s="16">
        <f>IFERROR('[1]R-2010'!L93,"")</f>
        <v>200000</v>
      </c>
      <c r="H93" s="17">
        <f t="shared" si="5"/>
        <v>0</v>
      </c>
      <c r="I93" s="17">
        <f t="shared" si="6"/>
        <v>0</v>
      </c>
      <c r="J93" s="17">
        <f t="shared" si="7"/>
        <v>0</v>
      </c>
    </row>
    <row r="94" spans="1:10" ht="13.5" thickBot="1">
      <c r="A94" s="15" t="str">
        <f>IF('[1]R-2010'!H94&lt;&gt;"","07974082000114","")</f>
        <v>07974082000114</v>
      </c>
      <c r="B94" s="15" t="str">
        <f t="shared" si="4"/>
        <v>07974082000114</v>
      </c>
      <c r="C94" s="15" t="str">
        <f>IFERROR(TEXT(VALUE(SUBSTITUTE(SUBSTITUTE(SUBSTITUTE('[1]R-2010'!H94,".",""),"/",""),"-","")),"00000000000"),"")</f>
        <v>30994850000113</v>
      </c>
      <c r="D94" s="5">
        <f>IFERROR('[1]R-2010'!J94,"")</f>
        <v>45809</v>
      </c>
      <c r="E94" s="15" t="str">
        <f>""</f>
        <v/>
      </c>
      <c r="F94" s="15"/>
      <c r="G94" s="16">
        <f>IFERROR('[1]R-2010'!L94,"")</f>
        <v>303761.71999999997</v>
      </c>
      <c r="H94" s="17">
        <f t="shared" si="5"/>
        <v>0</v>
      </c>
      <c r="I94" s="17">
        <f t="shared" si="6"/>
        <v>0</v>
      </c>
      <c r="J94" s="17">
        <f t="shared" si="7"/>
        <v>0</v>
      </c>
    </row>
    <row r="95" spans="1:10" ht="13.5" thickBot="1">
      <c r="A95" s="15" t="str">
        <f>IF('[1]R-2010'!H95&lt;&gt;"","07974082000114","")</f>
        <v>07974082000114</v>
      </c>
      <c r="B95" s="15" t="str">
        <f t="shared" si="4"/>
        <v>07974082000114</v>
      </c>
      <c r="C95" s="15" t="str">
        <f>IFERROR(TEXT(VALUE(SUBSTITUTE(SUBSTITUTE(SUBSTITUTE('[1]R-2010'!H95,".",""),"/",""),"-","")),"00000000000"),"")</f>
        <v>24525971000113</v>
      </c>
      <c r="D95" s="5">
        <f>IFERROR('[1]R-2010'!J95,"")</f>
        <v>45809</v>
      </c>
      <c r="E95" s="15" t="str">
        <f>""</f>
        <v/>
      </c>
      <c r="F95" s="15"/>
      <c r="G95" s="16">
        <f>IFERROR('[1]R-2010'!L95,"")</f>
        <v>8545.4500000000007</v>
      </c>
      <c r="H95" s="17">
        <f t="shared" si="5"/>
        <v>0</v>
      </c>
      <c r="I95" s="17">
        <f t="shared" si="6"/>
        <v>0</v>
      </c>
      <c r="J95" s="17">
        <f t="shared" si="7"/>
        <v>0</v>
      </c>
    </row>
    <row r="96" spans="1:10" ht="13.5" thickBot="1">
      <c r="A96" s="15" t="str">
        <f>IF('[1]R-2010'!H96&lt;&gt;"","07974082000114","")</f>
        <v>07974082000114</v>
      </c>
      <c r="B96" s="15" t="str">
        <f t="shared" si="4"/>
        <v>07974082000114</v>
      </c>
      <c r="C96" s="15" t="str">
        <f>IFERROR(TEXT(VALUE(SUBSTITUTE(SUBSTITUTE(SUBSTITUTE('[1]R-2010'!H96,".",""),"/",""),"-","")),"00000000000"),"")</f>
        <v>69374585000106</v>
      </c>
      <c r="D96" s="5">
        <f>IFERROR('[1]R-2010'!J96,"")</f>
        <v>45809</v>
      </c>
      <c r="E96" s="15" t="str">
        <f>""</f>
        <v/>
      </c>
      <c r="F96" s="15"/>
      <c r="G96" s="16">
        <f>IFERROR('[1]R-2010'!L96,"")</f>
        <v>150080.79</v>
      </c>
      <c r="H96" s="17">
        <f t="shared" si="5"/>
        <v>0</v>
      </c>
      <c r="I96" s="17">
        <f t="shared" si="6"/>
        <v>0</v>
      </c>
      <c r="J96" s="17">
        <f t="shared" si="7"/>
        <v>0</v>
      </c>
    </row>
    <row r="97" spans="1:10" ht="13.5" thickBot="1">
      <c r="A97" s="15" t="str">
        <f>IF('[1]R-2010'!H97&lt;&gt;"","07974082000114","")</f>
        <v>07974082000114</v>
      </c>
      <c r="B97" s="15" t="str">
        <f t="shared" si="4"/>
        <v>07974082000114</v>
      </c>
      <c r="C97" s="15" t="str">
        <f>IFERROR(TEXT(VALUE(SUBSTITUTE(SUBSTITUTE(SUBSTITUTE('[1]R-2010'!H97,".",""),"/",""),"-","")),"00000000000"),"")</f>
        <v>3420933000126</v>
      </c>
      <c r="D97" s="5">
        <f>IFERROR('[1]R-2010'!J97,"")</f>
        <v>45809</v>
      </c>
      <c r="E97" s="15" t="str">
        <f>""</f>
        <v/>
      </c>
      <c r="F97" s="15"/>
      <c r="G97" s="16">
        <f>IFERROR('[1]R-2010'!L97,"")</f>
        <v>1207.5999999999999</v>
      </c>
      <c r="H97" s="17">
        <f t="shared" si="5"/>
        <v>0</v>
      </c>
      <c r="I97" s="17">
        <f t="shared" si="6"/>
        <v>0</v>
      </c>
      <c r="J97" s="17">
        <f t="shared" si="7"/>
        <v>0</v>
      </c>
    </row>
    <row r="98" spans="1:10" ht="13.5" thickBot="1">
      <c r="A98" s="15" t="str">
        <f>IF('[1]R-2010'!H98&lt;&gt;"","07974082000114","")</f>
        <v>07974082000114</v>
      </c>
      <c r="B98" s="15" t="str">
        <f t="shared" si="4"/>
        <v>07974082000114</v>
      </c>
      <c r="C98" s="15" t="str">
        <f>IFERROR(TEXT(VALUE(SUBSTITUTE(SUBSTITUTE(SUBSTITUTE('[1]R-2010'!H98,".",""),"/",""),"-","")),"00000000000"),"")</f>
        <v>3420933000126</v>
      </c>
      <c r="D98" s="5">
        <f>IFERROR('[1]R-2010'!J98,"")</f>
        <v>45809</v>
      </c>
      <c r="E98" s="15" t="str">
        <f>""</f>
        <v/>
      </c>
      <c r="F98" s="15"/>
      <c r="G98" s="16">
        <f>IFERROR('[1]R-2010'!L98,"")</f>
        <v>2070.1799999999998</v>
      </c>
      <c r="H98" s="17">
        <f t="shared" si="5"/>
        <v>0</v>
      </c>
      <c r="I98" s="17">
        <f t="shared" si="6"/>
        <v>0</v>
      </c>
      <c r="J98" s="17">
        <f t="shared" si="7"/>
        <v>0</v>
      </c>
    </row>
    <row r="99" spans="1:10" ht="13.5" thickBot="1">
      <c r="A99" s="15" t="str">
        <f>IF('[1]R-2010'!H99&lt;&gt;"","07974082000114","")</f>
        <v>07974082000114</v>
      </c>
      <c r="B99" s="15" t="str">
        <f t="shared" si="4"/>
        <v>07974082000114</v>
      </c>
      <c r="C99" s="15" t="str">
        <f>IFERROR(TEXT(VALUE(SUBSTITUTE(SUBSTITUTE(SUBSTITUTE('[1]R-2010'!H99,".",""),"/",""),"-","")),"00000000000"),"")</f>
        <v>3420933000126</v>
      </c>
      <c r="D99" s="5">
        <f>IFERROR('[1]R-2010'!J99,"")</f>
        <v>45809</v>
      </c>
      <c r="E99" s="15" t="str">
        <f>""</f>
        <v/>
      </c>
      <c r="F99" s="15"/>
      <c r="G99" s="16">
        <f>IFERROR('[1]R-2010'!L99,"")</f>
        <v>2741.02</v>
      </c>
      <c r="H99" s="17">
        <f t="shared" si="5"/>
        <v>0</v>
      </c>
      <c r="I99" s="17">
        <f t="shared" si="6"/>
        <v>0</v>
      </c>
      <c r="J99" s="17">
        <f t="shared" si="7"/>
        <v>0</v>
      </c>
    </row>
    <row r="100" spans="1:10" ht="13.5" thickBot="1">
      <c r="A100" s="15" t="str">
        <f>IF('[1]R-2010'!H100&lt;&gt;"","07974082000114","")</f>
        <v>07974082000114</v>
      </c>
      <c r="B100" s="15" t="str">
        <f t="shared" si="4"/>
        <v>07974082000114</v>
      </c>
      <c r="C100" s="15" t="str">
        <f>IFERROR(TEXT(VALUE(SUBSTITUTE(SUBSTITUTE(SUBSTITUTE('[1]R-2010'!H100,".",""),"/",""),"-","")),"00000000000"),"")</f>
        <v>3420933000126</v>
      </c>
      <c r="D100" s="5">
        <f>IFERROR('[1]R-2010'!J100,"")</f>
        <v>45809</v>
      </c>
      <c r="E100" s="15" t="str">
        <f>""</f>
        <v/>
      </c>
      <c r="F100" s="15"/>
      <c r="G100" s="16">
        <f>IFERROR('[1]R-2010'!L100,"")</f>
        <v>2813.9</v>
      </c>
      <c r="H100" s="17">
        <f t="shared" si="5"/>
        <v>0</v>
      </c>
      <c r="I100" s="17">
        <f t="shared" si="6"/>
        <v>0</v>
      </c>
      <c r="J100" s="17">
        <f t="shared" si="7"/>
        <v>0</v>
      </c>
    </row>
    <row r="101" spans="1:10" ht="13.5" thickBot="1">
      <c r="A101" s="15" t="str">
        <f>IF('[1]R-2010'!H101&lt;&gt;"","07974082000114","")</f>
        <v>07974082000114</v>
      </c>
      <c r="B101" s="15" t="str">
        <f t="shared" si="4"/>
        <v>07974082000114</v>
      </c>
      <c r="C101" s="15" t="str">
        <f>IFERROR(TEXT(VALUE(SUBSTITUTE(SUBSTITUTE(SUBSTITUTE('[1]R-2010'!H101,".",""),"/",""),"-","")),"00000000000"),"")</f>
        <v>3420933000126</v>
      </c>
      <c r="D101" s="5">
        <f>IFERROR('[1]R-2010'!J101,"")</f>
        <v>45809</v>
      </c>
      <c r="E101" s="15" t="str">
        <f>""</f>
        <v/>
      </c>
      <c r="F101" s="15"/>
      <c r="G101" s="16">
        <f>IFERROR('[1]R-2010'!L101,"")</f>
        <v>2904.5</v>
      </c>
      <c r="H101" s="17">
        <f t="shared" si="5"/>
        <v>0</v>
      </c>
      <c r="I101" s="17">
        <f t="shared" si="6"/>
        <v>0</v>
      </c>
      <c r="J101" s="17">
        <f t="shared" si="7"/>
        <v>0</v>
      </c>
    </row>
    <row r="102" spans="1:10" ht="13.5" thickBot="1">
      <c r="A102" s="15" t="str">
        <f>IF('[1]R-2010'!H102&lt;&gt;"","07974082000114","")</f>
        <v>07974082000114</v>
      </c>
      <c r="B102" s="15" t="str">
        <f t="shared" si="4"/>
        <v>07974082000114</v>
      </c>
      <c r="C102" s="15" t="str">
        <f>IFERROR(TEXT(VALUE(SUBSTITUTE(SUBSTITUTE(SUBSTITUTE('[1]R-2010'!H102,".",""),"/",""),"-","")),"00000000000"),"")</f>
        <v>3420933000126</v>
      </c>
      <c r="D102" s="5">
        <f>IFERROR('[1]R-2010'!J102,"")</f>
        <v>45809</v>
      </c>
      <c r="E102" s="15" t="str">
        <f>""</f>
        <v/>
      </c>
      <c r="F102" s="15"/>
      <c r="G102" s="16">
        <f>IFERROR('[1]R-2010'!L102,"")</f>
        <v>2904.5</v>
      </c>
      <c r="H102" s="17">
        <f t="shared" si="5"/>
        <v>0</v>
      </c>
      <c r="I102" s="17">
        <f t="shared" si="6"/>
        <v>0</v>
      </c>
      <c r="J102" s="17">
        <f t="shared" si="7"/>
        <v>0</v>
      </c>
    </row>
    <row r="103" spans="1:10" ht="13.5" thickBot="1">
      <c r="A103" s="15" t="str">
        <f>IF('[1]R-2010'!H103&lt;&gt;"","07974082000114","")</f>
        <v>07974082000114</v>
      </c>
      <c r="B103" s="15" t="str">
        <f t="shared" si="4"/>
        <v>07974082000114</v>
      </c>
      <c r="C103" s="15" t="str">
        <f>IFERROR(TEXT(VALUE(SUBSTITUTE(SUBSTITUTE(SUBSTITUTE('[1]R-2010'!H103,".",""),"/",""),"-","")),"00000000000"),"")</f>
        <v>3420933000126</v>
      </c>
      <c r="D103" s="5">
        <f>IFERROR('[1]R-2010'!J103,"")</f>
        <v>45809</v>
      </c>
      <c r="E103" s="15" t="str">
        <f>""</f>
        <v/>
      </c>
      <c r="F103" s="15"/>
      <c r="G103" s="16">
        <f>IFERROR('[1]R-2010'!L103,"")</f>
        <v>2977.9</v>
      </c>
      <c r="H103" s="17">
        <f t="shared" si="5"/>
        <v>0</v>
      </c>
      <c r="I103" s="17">
        <f t="shared" si="6"/>
        <v>0</v>
      </c>
      <c r="J103" s="17">
        <f t="shared" si="7"/>
        <v>0</v>
      </c>
    </row>
    <row r="104" spans="1:10" ht="13.5" thickBot="1">
      <c r="A104" s="15" t="str">
        <f>IF('[1]R-2010'!H104&lt;&gt;"","07974082000114","")</f>
        <v>07974082000114</v>
      </c>
      <c r="B104" s="15" t="str">
        <f t="shared" si="4"/>
        <v>07974082000114</v>
      </c>
      <c r="C104" s="15" t="str">
        <f>IFERROR(TEXT(VALUE(SUBSTITUTE(SUBSTITUTE(SUBSTITUTE('[1]R-2010'!H104,".",""),"/",""),"-","")),"00000000000"),"")</f>
        <v>3420933000126</v>
      </c>
      <c r="D104" s="5">
        <f>IFERROR('[1]R-2010'!J104,"")</f>
        <v>45809</v>
      </c>
      <c r="E104" s="15" t="str">
        <f>""</f>
        <v/>
      </c>
      <c r="F104" s="15"/>
      <c r="G104" s="16">
        <f>IFERROR('[1]R-2010'!L104,"")</f>
        <v>3870.07</v>
      </c>
      <c r="H104" s="17">
        <f t="shared" si="5"/>
        <v>0</v>
      </c>
      <c r="I104" s="17">
        <f t="shared" si="6"/>
        <v>0</v>
      </c>
      <c r="J104" s="17">
        <f t="shared" si="7"/>
        <v>0</v>
      </c>
    </row>
    <row r="105" spans="1:10" ht="13.5" thickBot="1">
      <c r="A105" s="15" t="str">
        <f>IF('[1]R-2010'!H105&lt;&gt;"","07974082000114","")</f>
        <v>07974082000114</v>
      </c>
      <c r="B105" s="15" t="str">
        <f t="shared" si="4"/>
        <v>07974082000114</v>
      </c>
      <c r="C105" s="15" t="str">
        <f>IFERROR(TEXT(VALUE(SUBSTITUTE(SUBSTITUTE(SUBSTITUTE('[1]R-2010'!H105,".",""),"/",""),"-","")),"00000000000"),"")</f>
        <v>3420933000126</v>
      </c>
      <c r="D105" s="5">
        <f>IFERROR('[1]R-2010'!J105,"")</f>
        <v>45809</v>
      </c>
      <c r="E105" s="15" t="str">
        <f>""</f>
        <v/>
      </c>
      <c r="F105" s="15"/>
      <c r="G105" s="16">
        <f>IFERROR('[1]R-2010'!L105,"")</f>
        <v>4761.4799999999996</v>
      </c>
      <c r="H105" s="17">
        <f t="shared" si="5"/>
        <v>0</v>
      </c>
      <c r="I105" s="17">
        <f t="shared" si="6"/>
        <v>0</v>
      </c>
      <c r="J105" s="17">
        <f t="shared" si="7"/>
        <v>0</v>
      </c>
    </row>
    <row r="106" spans="1:10" ht="13.5" thickBot="1">
      <c r="A106" s="15" t="str">
        <f>IF('[1]R-2010'!H106&lt;&gt;"","07974082000114","")</f>
        <v>07974082000114</v>
      </c>
      <c r="B106" s="15" t="str">
        <f t="shared" si="4"/>
        <v>07974082000114</v>
      </c>
      <c r="C106" s="15" t="str">
        <f>IFERROR(TEXT(VALUE(SUBSTITUTE(SUBSTITUTE(SUBSTITUTE('[1]R-2010'!H106,".",""),"/",""),"-","")),"00000000000"),"")</f>
        <v>3420933000126</v>
      </c>
      <c r="D106" s="5">
        <f>IFERROR('[1]R-2010'!J106,"")</f>
        <v>45809</v>
      </c>
      <c r="E106" s="15" t="str">
        <f>""</f>
        <v/>
      </c>
      <c r="F106" s="15"/>
      <c r="G106" s="16">
        <f>IFERROR('[1]R-2010'!L106,"")</f>
        <v>5577.08</v>
      </c>
      <c r="H106" s="17">
        <f t="shared" si="5"/>
        <v>0</v>
      </c>
      <c r="I106" s="17">
        <f t="shared" si="6"/>
        <v>0</v>
      </c>
      <c r="J106" s="17">
        <f t="shared" si="7"/>
        <v>0</v>
      </c>
    </row>
    <row r="107" spans="1:10" ht="13.5" thickBot="1">
      <c r="A107" s="15" t="str">
        <f>IF('[1]R-2010'!H107&lt;&gt;"","07974082000114","")</f>
        <v>07974082000114</v>
      </c>
      <c r="B107" s="15" t="str">
        <f t="shared" si="4"/>
        <v>07974082000114</v>
      </c>
      <c r="C107" s="15" t="str">
        <f>IFERROR(TEXT(VALUE(SUBSTITUTE(SUBSTITUTE(SUBSTITUTE('[1]R-2010'!H107,".",""),"/",""),"-","")),"00000000000"),"")</f>
        <v>3420933000126</v>
      </c>
      <c r="D107" s="5">
        <f>IFERROR('[1]R-2010'!J107,"")</f>
        <v>45809</v>
      </c>
      <c r="E107" s="15" t="str">
        <f>""</f>
        <v/>
      </c>
      <c r="F107" s="15"/>
      <c r="G107" s="16">
        <f>IFERROR('[1]R-2010'!L107,"")</f>
        <v>9348.85</v>
      </c>
      <c r="H107" s="17">
        <f t="shared" si="5"/>
        <v>0</v>
      </c>
      <c r="I107" s="17">
        <f t="shared" si="6"/>
        <v>0</v>
      </c>
      <c r="J107" s="17">
        <f t="shared" si="7"/>
        <v>0</v>
      </c>
    </row>
    <row r="108" spans="1:10" ht="13.5" thickBot="1">
      <c r="A108" s="15" t="str">
        <f>IF('[1]R-2010'!H108&lt;&gt;"","07974082000114","")</f>
        <v>07974082000114</v>
      </c>
      <c r="B108" s="15" t="str">
        <f t="shared" si="4"/>
        <v>07974082000114</v>
      </c>
      <c r="C108" s="15" t="str">
        <f>IFERROR(TEXT(VALUE(SUBSTITUTE(SUBSTITUTE(SUBSTITUTE('[1]R-2010'!H108,".",""),"/",""),"-","")),"00000000000"),"")</f>
        <v>3420933000126</v>
      </c>
      <c r="D108" s="5">
        <f>IFERROR('[1]R-2010'!J108,"")</f>
        <v>45809</v>
      </c>
      <c r="E108" s="15" t="str">
        <f>""</f>
        <v/>
      </c>
      <c r="F108" s="15"/>
      <c r="G108" s="16">
        <f>IFERROR('[1]R-2010'!L108,"")</f>
        <v>13192.58</v>
      </c>
      <c r="H108" s="17">
        <f t="shared" si="5"/>
        <v>0</v>
      </c>
      <c r="I108" s="17">
        <f t="shared" si="6"/>
        <v>0</v>
      </c>
      <c r="J108" s="17">
        <f t="shared" si="7"/>
        <v>0</v>
      </c>
    </row>
    <row r="109" spans="1:10" ht="13.5" thickBot="1">
      <c r="A109" s="15" t="str">
        <f>IF('[1]R-2010'!H109&lt;&gt;"","07974082000114","")</f>
        <v>07974082000114</v>
      </c>
      <c r="B109" s="15" t="str">
        <f t="shared" si="4"/>
        <v>07974082000114</v>
      </c>
      <c r="C109" s="15" t="str">
        <f>IFERROR(TEXT(VALUE(SUBSTITUTE(SUBSTITUTE(SUBSTITUTE('[1]R-2010'!H109,".",""),"/",""),"-","")),"00000000000"),"")</f>
        <v>3420933000126</v>
      </c>
      <c r="D109" s="5">
        <f>IFERROR('[1]R-2010'!J109,"")</f>
        <v>45809</v>
      </c>
      <c r="E109" s="15" t="str">
        <f>""</f>
        <v/>
      </c>
      <c r="F109" s="15"/>
      <c r="G109" s="16">
        <f>IFERROR('[1]R-2010'!L109,"")</f>
        <v>24896.18</v>
      </c>
      <c r="H109" s="17">
        <f t="shared" si="5"/>
        <v>0</v>
      </c>
      <c r="I109" s="17">
        <f t="shared" si="6"/>
        <v>0</v>
      </c>
      <c r="J109" s="17">
        <f t="shared" si="7"/>
        <v>0</v>
      </c>
    </row>
    <row r="110" spans="1:10" ht="13.5" thickBot="1">
      <c r="A110" s="15" t="str">
        <f>IF('[1]R-2010'!H110&lt;&gt;"","07974082000114","")</f>
        <v>07974082000114</v>
      </c>
      <c r="B110" s="15" t="str">
        <f t="shared" si="4"/>
        <v>07974082000114</v>
      </c>
      <c r="C110" s="15" t="str">
        <f>IFERROR(TEXT(VALUE(SUBSTITUTE(SUBSTITUTE(SUBSTITUTE('[1]R-2010'!H110,".",""),"/",""),"-","")),"00000000000"),"")</f>
        <v>4238951000154</v>
      </c>
      <c r="D110" s="5">
        <f>IFERROR('[1]R-2010'!J110,"")</f>
        <v>45809</v>
      </c>
      <c r="E110" s="15" t="str">
        <f>""</f>
        <v/>
      </c>
      <c r="F110" s="15"/>
      <c r="G110" s="16">
        <f>IFERROR('[1]R-2010'!L110,"")</f>
        <v>17500</v>
      </c>
      <c r="H110" s="17">
        <f t="shared" si="5"/>
        <v>0</v>
      </c>
      <c r="I110" s="17">
        <f t="shared" si="6"/>
        <v>0</v>
      </c>
      <c r="J110" s="17">
        <f t="shared" si="7"/>
        <v>0</v>
      </c>
    </row>
    <row r="111" spans="1:10" ht="13.5" thickBot="1">
      <c r="A111" s="15" t="str">
        <f>IF('[1]R-2010'!H111&lt;&gt;"","07974082000114","")</f>
        <v>07974082000114</v>
      </c>
      <c r="B111" s="15" t="str">
        <f t="shared" si="4"/>
        <v>07974082000114</v>
      </c>
      <c r="C111" s="15" t="str">
        <f>IFERROR(TEXT(VALUE(SUBSTITUTE(SUBSTITUTE(SUBSTITUTE('[1]R-2010'!H111,".",""),"/",""),"-","")),"00000000000"),"")</f>
        <v>4238951000154</v>
      </c>
      <c r="D111" s="5">
        <f>IFERROR('[1]R-2010'!J111,"")</f>
        <v>45809</v>
      </c>
      <c r="E111" s="15" t="str">
        <f>""</f>
        <v/>
      </c>
      <c r="F111" s="15"/>
      <c r="G111" s="16">
        <f>IFERROR('[1]R-2010'!L111,"")</f>
        <v>19500</v>
      </c>
      <c r="H111" s="17">
        <f t="shared" si="5"/>
        <v>0</v>
      </c>
      <c r="I111" s="17">
        <f t="shared" si="6"/>
        <v>0</v>
      </c>
      <c r="J111" s="17">
        <f t="shared" si="7"/>
        <v>0</v>
      </c>
    </row>
    <row r="112" spans="1:10" ht="13.5" thickBot="1">
      <c r="A112" s="15" t="str">
        <f>IF('[1]R-2010'!H112&lt;&gt;"","07974082000114","")</f>
        <v>07974082000114</v>
      </c>
      <c r="B112" s="15" t="str">
        <f t="shared" si="4"/>
        <v>07974082000114</v>
      </c>
      <c r="C112" s="15" t="str">
        <f>IFERROR(TEXT(VALUE(SUBSTITUTE(SUBSTITUTE(SUBSTITUTE('[1]R-2010'!H112,".",""),"/",""),"-","")),"00000000000"),"")</f>
        <v>30994850000113</v>
      </c>
      <c r="D112" s="5">
        <f>IFERROR('[1]R-2010'!J112,"")</f>
        <v>45809</v>
      </c>
      <c r="E112" s="15" t="str">
        <f>""</f>
        <v/>
      </c>
      <c r="F112" s="15"/>
      <c r="G112" s="16">
        <f>IFERROR('[1]R-2010'!L112,"")</f>
        <v>286138.40999999997</v>
      </c>
      <c r="H112" s="17">
        <f t="shared" si="5"/>
        <v>0</v>
      </c>
      <c r="I112" s="17">
        <f t="shared" si="6"/>
        <v>0</v>
      </c>
      <c r="J112" s="17">
        <f t="shared" si="7"/>
        <v>0</v>
      </c>
    </row>
    <row r="113" spans="1:10" ht="13.5" thickBot="1">
      <c r="A113" s="15" t="str">
        <f>IF('[1]R-2010'!H113&lt;&gt;"","07974082000114","")</f>
        <v>07974082000114</v>
      </c>
      <c r="B113" s="15" t="str">
        <f t="shared" si="4"/>
        <v>07974082000114</v>
      </c>
      <c r="C113" s="15" t="str">
        <f>IFERROR(TEXT(VALUE(SUBSTITUTE(SUBSTITUTE(SUBSTITUTE('[1]R-2010'!H113,".",""),"/",""),"-","")),"00000000000"),"")</f>
        <v>50429810000136</v>
      </c>
      <c r="D113" s="5">
        <f>IFERROR('[1]R-2010'!J113,"")</f>
        <v>45809</v>
      </c>
      <c r="E113" s="15" t="str">
        <f>""</f>
        <v/>
      </c>
      <c r="F113" s="15"/>
      <c r="G113" s="16">
        <f>IFERROR('[1]R-2010'!L113,"")</f>
        <v>3192.96</v>
      </c>
      <c r="H113" s="17">
        <f t="shared" si="5"/>
        <v>0</v>
      </c>
      <c r="I113" s="17">
        <f t="shared" si="6"/>
        <v>0</v>
      </c>
      <c r="J113" s="17">
        <f t="shared" si="7"/>
        <v>0</v>
      </c>
    </row>
    <row r="114" spans="1:10" ht="13.5" thickBot="1">
      <c r="A114" s="15" t="str">
        <f>IF('[1]R-2010'!H114&lt;&gt;"","07974082000114","")</f>
        <v>07974082000114</v>
      </c>
      <c r="B114" s="15" t="str">
        <f t="shared" si="4"/>
        <v>07974082000114</v>
      </c>
      <c r="C114" s="15" t="str">
        <f>IFERROR(TEXT(VALUE(SUBSTITUTE(SUBSTITUTE(SUBSTITUTE('[1]R-2010'!H114,".",""),"/",""),"-","")),"00000000000"),"")</f>
        <v>24525971000113</v>
      </c>
      <c r="D114" s="5">
        <f>IFERROR('[1]R-2010'!J114,"")</f>
        <v>45809</v>
      </c>
      <c r="E114" s="15" t="str">
        <f>""</f>
        <v/>
      </c>
      <c r="F114" s="15"/>
      <c r="G114" s="16">
        <f>IFERROR('[1]R-2010'!L114,"")</f>
        <v>34181.78</v>
      </c>
      <c r="H114" s="17">
        <f t="shared" si="5"/>
        <v>0</v>
      </c>
      <c r="I114" s="17">
        <f t="shared" si="6"/>
        <v>0</v>
      </c>
      <c r="J114" s="17">
        <f t="shared" si="7"/>
        <v>0</v>
      </c>
    </row>
    <row r="115" spans="1:10" ht="13.5" thickBot="1">
      <c r="A115" s="15" t="str">
        <f>IF('[1]R-2010'!H115&lt;&gt;"","07974082000114","")</f>
        <v>07974082000114</v>
      </c>
      <c r="B115" s="15" t="str">
        <f t="shared" si="4"/>
        <v>07974082000114</v>
      </c>
      <c r="C115" s="15" t="str">
        <f>IFERROR(TEXT(VALUE(SUBSTITUTE(SUBSTITUTE(SUBSTITUTE('[1]R-2010'!H115,".",""),"/",""),"-","")),"00000000000"),"")</f>
        <v>22594152000100</v>
      </c>
      <c r="D115" s="5">
        <f>IFERROR('[1]R-2010'!J115,"")</f>
        <v>45809</v>
      </c>
      <c r="E115" s="15" t="str">
        <f>""</f>
        <v/>
      </c>
      <c r="F115" s="15"/>
      <c r="G115" s="16">
        <f>IFERROR('[1]R-2010'!L115,"")</f>
        <v>29820.66</v>
      </c>
      <c r="H115" s="17">
        <f t="shared" si="5"/>
        <v>0</v>
      </c>
      <c r="I115" s="17">
        <f t="shared" si="6"/>
        <v>0</v>
      </c>
      <c r="J115" s="17">
        <f t="shared" si="7"/>
        <v>0</v>
      </c>
    </row>
    <row r="116" spans="1:10" ht="13.5" thickBot="1">
      <c r="A116" s="15" t="str">
        <f>IF('[1]R-2010'!H116&lt;&gt;"","07974082000114","")</f>
        <v>07974082000114</v>
      </c>
      <c r="B116" s="15" t="str">
        <f t="shared" si="4"/>
        <v>07974082000114</v>
      </c>
      <c r="C116" s="15" t="str">
        <f>IFERROR(TEXT(VALUE(SUBSTITUTE(SUBSTITUTE(SUBSTITUTE('[1]R-2010'!H116,".",""),"/",""),"-","")),"00000000000"),"")</f>
        <v>3420933000126</v>
      </c>
      <c r="D116" s="5">
        <f>IFERROR('[1]R-2010'!J116,"")</f>
        <v>45809</v>
      </c>
      <c r="E116" s="15" t="str">
        <f>""</f>
        <v/>
      </c>
      <c r="F116" s="15"/>
      <c r="G116" s="16">
        <f>IFERROR('[1]R-2010'!L116,"")</f>
        <v>22620</v>
      </c>
      <c r="H116" s="17">
        <f t="shared" si="5"/>
        <v>0</v>
      </c>
      <c r="I116" s="17">
        <f t="shared" si="6"/>
        <v>0</v>
      </c>
      <c r="J116" s="17">
        <f t="shared" si="7"/>
        <v>0</v>
      </c>
    </row>
    <row r="117" spans="1:10" ht="13.5" thickBot="1">
      <c r="A117" s="15" t="str">
        <f>IF('[1]R-2010'!H117&lt;&gt;"","07974082000114","")</f>
        <v>07974082000114</v>
      </c>
      <c r="B117" s="15" t="str">
        <f t="shared" si="4"/>
        <v>07974082000114</v>
      </c>
      <c r="C117" s="15" t="str">
        <f>IFERROR(TEXT(VALUE(SUBSTITUTE(SUBSTITUTE(SUBSTITUTE('[1]R-2010'!H117,".",""),"/",""),"-","")),"00000000000"),"")</f>
        <v>3420933000126</v>
      </c>
      <c r="D117" s="5">
        <f>IFERROR('[1]R-2010'!J117,"")</f>
        <v>45809</v>
      </c>
      <c r="E117" s="15" t="str">
        <f>""</f>
        <v/>
      </c>
      <c r="F117" s="15"/>
      <c r="G117" s="16">
        <f>IFERROR('[1]R-2010'!L117,"")</f>
        <v>30292.69</v>
      </c>
      <c r="H117" s="17">
        <f t="shared" si="5"/>
        <v>0</v>
      </c>
      <c r="I117" s="17">
        <f t="shared" si="6"/>
        <v>0</v>
      </c>
      <c r="J117" s="17">
        <f t="shared" si="7"/>
        <v>0</v>
      </c>
    </row>
    <row r="118" spans="1:10" ht="13.5" thickBot="1">
      <c r="A118" s="15" t="str">
        <f>IF('[1]R-2010'!H118&lt;&gt;"","07974082000114","")</f>
        <v>07974082000114</v>
      </c>
      <c r="B118" s="15" t="str">
        <f t="shared" si="4"/>
        <v>07974082000114</v>
      </c>
      <c r="C118" s="15" t="str">
        <f>IFERROR(TEXT(VALUE(SUBSTITUTE(SUBSTITUTE(SUBSTITUTE('[1]R-2010'!H118,".",""),"/",""),"-","")),"00000000000"),"")</f>
        <v>24525971000113</v>
      </c>
      <c r="D118" s="5">
        <f>IFERROR('[1]R-2010'!J118,"")</f>
        <v>45809</v>
      </c>
      <c r="E118" s="15" t="str">
        <f>""</f>
        <v/>
      </c>
      <c r="F118" s="15"/>
      <c r="G118" s="16">
        <f>IFERROR('[1]R-2010'!L118,"")</f>
        <v>42727.23</v>
      </c>
      <c r="H118" s="17">
        <f t="shared" si="5"/>
        <v>0</v>
      </c>
      <c r="I118" s="17">
        <f t="shared" si="6"/>
        <v>0</v>
      </c>
      <c r="J118" s="17">
        <f t="shared" si="7"/>
        <v>0</v>
      </c>
    </row>
    <row r="119" spans="1:10" ht="13.5" thickBot="1">
      <c r="A119" s="15" t="str">
        <f>IF('[1]R-2010'!H119&lt;&gt;"","07974082000114","")</f>
        <v>07974082000114</v>
      </c>
      <c r="B119" s="15" t="str">
        <f t="shared" si="4"/>
        <v>07974082000114</v>
      </c>
      <c r="C119" s="15" t="str">
        <f>IFERROR(TEXT(VALUE(SUBSTITUTE(SUBSTITUTE(SUBSTITUTE('[1]R-2010'!H119,".",""),"/",""),"-","")),"00000000000"),"")</f>
        <v>48560556000169</v>
      </c>
      <c r="D119" s="5">
        <f>IFERROR('[1]R-2010'!J119,"")</f>
        <v>45809</v>
      </c>
      <c r="E119" s="15" t="str">
        <f>""</f>
        <v/>
      </c>
      <c r="F119" s="15"/>
      <c r="G119" s="16">
        <f>IFERROR('[1]R-2010'!L119,"")</f>
        <v>444.3</v>
      </c>
      <c r="H119" s="17">
        <f t="shared" si="5"/>
        <v>0</v>
      </c>
      <c r="I119" s="17">
        <f t="shared" si="6"/>
        <v>0</v>
      </c>
      <c r="J119" s="17">
        <f t="shared" si="7"/>
        <v>0</v>
      </c>
    </row>
    <row r="120" spans="1:10" ht="13.5" thickBot="1">
      <c r="A120" s="15" t="str">
        <f>IF('[1]R-2010'!H120&lt;&gt;"","07974082000114","")</f>
        <v>07974082000114</v>
      </c>
      <c r="B120" s="15" t="str">
        <f t="shared" si="4"/>
        <v>07974082000114</v>
      </c>
      <c r="C120" s="15" t="str">
        <f>IFERROR(TEXT(VALUE(SUBSTITUTE(SUBSTITUTE(SUBSTITUTE('[1]R-2010'!H120,".",""),"/",""),"-","")),"00000000000"),"")</f>
        <v>22594152000100</v>
      </c>
      <c r="D120" s="5">
        <f>IFERROR('[1]R-2010'!J120,"")</f>
        <v>45809</v>
      </c>
      <c r="E120" s="15" t="str">
        <f>""</f>
        <v/>
      </c>
      <c r="F120" s="15"/>
      <c r="G120" s="16">
        <f>IFERROR('[1]R-2010'!L120,"")</f>
        <v>62325.3</v>
      </c>
      <c r="H120" s="17">
        <f t="shared" si="5"/>
        <v>0</v>
      </c>
      <c r="I120" s="17">
        <f t="shared" si="6"/>
        <v>0</v>
      </c>
      <c r="J120" s="17">
        <f t="shared" si="7"/>
        <v>0</v>
      </c>
    </row>
    <row r="121" spans="1:10" ht="13.5" thickBot="1">
      <c r="A121" s="15" t="str">
        <f>IF('[1]R-2010'!H121&lt;&gt;"","07974082000114","")</f>
        <v>07974082000114</v>
      </c>
      <c r="B121" s="15" t="str">
        <f t="shared" si="4"/>
        <v>07974082000114</v>
      </c>
      <c r="C121" s="15" t="str">
        <f>IFERROR(TEXT(VALUE(SUBSTITUTE(SUBSTITUTE(SUBSTITUTE('[1]R-2010'!H121,".",""),"/",""),"-","")),"00000000000"),"")</f>
        <v>16383848000187</v>
      </c>
      <c r="D121" s="5">
        <f>IFERROR('[1]R-2010'!J121,"")</f>
        <v>45809</v>
      </c>
      <c r="E121" s="15" t="str">
        <f>""</f>
        <v/>
      </c>
      <c r="F121" s="15"/>
      <c r="G121" s="16">
        <f>IFERROR('[1]R-2010'!L121,"")</f>
        <v>39987.18</v>
      </c>
      <c r="H121" s="17">
        <f t="shared" si="5"/>
        <v>0</v>
      </c>
      <c r="I121" s="17">
        <f t="shared" si="6"/>
        <v>0</v>
      </c>
      <c r="J121" s="17">
        <f t="shared" si="7"/>
        <v>0</v>
      </c>
    </row>
    <row r="122" spans="1:10" ht="13.5" thickBot="1">
      <c r="A122" s="15" t="str">
        <f>IF('[1]R-2010'!H122&lt;&gt;"","07974082000114","")</f>
        <v>07974082000114</v>
      </c>
      <c r="B122" s="15" t="str">
        <f t="shared" si="4"/>
        <v>07974082000114</v>
      </c>
      <c r="C122" s="15" t="str">
        <f>IFERROR(TEXT(VALUE(SUBSTITUTE(SUBSTITUTE(SUBSTITUTE('[1]R-2010'!H122,".",""),"/",""),"-","")),"00000000000"),"")</f>
        <v>15676890000123</v>
      </c>
      <c r="D122" s="5">
        <f>IFERROR('[1]R-2010'!J122,"")</f>
        <v>45809</v>
      </c>
      <c r="E122" s="15" t="str">
        <f>""</f>
        <v/>
      </c>
      <c r="F122" s="15"/>
      <c r="G122" s="16">
        <f>IFERROR('[1]R-2010'!L122,"")</f>
        <v>90850.65</v>
      </c>
      <c r="H122" s="17">
        <f t="shared" si="5"/>
        <v>0</v>
      </c>
      <c r="I122" s="17">
        <f t="shared" si="6"/>
        <v>0</v>
      </c>
      <c r="J122" s="17">
        <f t="shared" si="7"/>
        <v>0</v>
      </c>
    </row>
    <row r="123" spans="1:10" ht="13.5" thickBot="1">
      <c r="A123" s="15" t="str">
        <f>IF('[1]R-2010'!H123&lt;&gt;"","07974082000114","")</f>
        <v>07974082000114</v>
      </c>
      <c r="B123" s="15" t="str">
        <f t="shared" si="4"/>
        <v>07974082000114</v>
      </c>
      <c r="C123" s="15" t="str">
        <f>IFERROR(TEXT(VALUE(SUBSTITUTE(SUBSTITUTE(SUBSTITUTE('[1]R-2010'!H123,".",""),"/",""),"-","")),"00000000000"),"")</f>
        <v>61350460000134</v>
      </c>
      <c r="D123" s="5">
        <f>IFERROR('[1]R-2010'!J123,"")</f>
        <v>45809</v>
      </c>
      <c r="E123" s="15" t="str">
        <f>""</f>
        <v/>
      </c>
      <c r="F123" s="15"/>
      <c r="G123" s="16">
        <f>IFERROR('[1]R-2010'!L123,"")</f>
        <v>10800</v>
      </c>
      <c r="H123" s="17">
        <f t="shared" si="5"/>
        <v>0</v>
      </c>
      <c r="I123" s="17">
        <f t="shared" si="6"/>
        <v>0</v>
      </c>
      <c r="J123" s="17">
        <f t="shared" si="7"/>
        <v>0</v>
      </c>
    </row>
    <row r="124" spans="1:10" ht="13.5" thickBot="1">
      <c r="A124" s="15" t="str">
        <f>IF('[1]R-2010'!H124&lt;&gt;"","07974082000114","")</f>
        <v>07974082000114</v>
      </c>
      <c r="B124" s="15" t="str">
        <f t="shared" si="4"/>
        <v>07974082000114</v>
      </c>
      <c r="C124" s="15" t="str">
        <f>IFERROR(TEXT(VALUE(SUBSTITUTE(SUBSTITUTE(SUBSTITUTE('[1]R-2010'!H124,".",""),"/",""),"-","")),"00000000000"),"")</f>
        <v>22594152000100</v>
      </c>
      <c r="D124" s="5">
        <f>IFERROR('[1]R-2010'!J124,"")</f>
        <v>45809</v>
      </c>
      <c r="E124" s="15" t="str">
        <f>""</f>
        <v/>
      </c>
      <c r="F124" s="15"/>
      <c r="G124" s="16">
        <f>IFERROR('[1]R-2010'!L124,"")</f>
        <v>107374.65</v>
      </c>
      <c r="H124" s="17">
        <f t="shared" si="5"/>
        <v>0</v>
      </c>
      <c r="I124" s="17">
        <f t="shared" si="6"/>
        <v>0</v>
      </c>
      <c r="J124" s="17">
        <f t="shared" si="7"/>
        <v>0</v>
      </c>
    </row>
    <row r="125" spans="1:10" ht="13.5" thickBot="1">
      <c r="A125" s="15" t="str">
        <f>IF('[1]R-2010'!H125&lt;&gt;"","07974082000114","")</f>
        <v>07974082000114</v>
      </c>
      <c r="B125" s="15" t="str">
        <f t="shared" si="4"/>
        <v>07974082000114</v>
      </c>
      <c r="C125" s="15" t="str">
        <f>IFERROR(TEXT(VALUE(SUBSTITUTE(SUBSTITUTE(SUBSTITUTE('[1]R-2010'!H125,".",""),"/",""),"-","")),"00000000000"),"")</f>
        <v>41657526000126</v>
      </c>
      <c r="D125" s="5">
        <f>IFERROR('[1]R-2010'!J125,"")</f>
        <v>45839</v>
      </c>
      <c r="E125" s="15" t="str">
        <f>""</f>
        <v/>
      </c>
      <c r="F125" s="15"/>
      <c r="G125" s="16">
        <f>IFERROR('[1]R-2010'!L125,"")</f>
        <v>7936</v>
      </c>
      <c r="H125" s="17">
        <f t="shared" si="5"/>
        <v>0</v>
      </c>
      <c r="I125" s="17">
        <f t="shared" si="6"/>
        <v>0</v>
      </c>
      <c r="J125" s="17">
        <f t="shared" si="7"/>
        <v>0</v>
      </c>
    </row>
    <row r="126" spans="1:10" ht="13.5" thickBot="1">
      <c r="A126" s="15" t="str">
        <f>IF('[1]R-2010'!H126&lt;&gt;"","07974082000114","")</f>
        <v>07974082000114</v>
      </c>
      <c r="B126" s="15" t="str">
        <f t="shared" si="4"/>
        <v>07974082000114</v>
      </c>
      <c r="C126" s="15" t="str">
        <f>IFERROR(TEXT(VALUE(SUBSTITUTE(SUBSTITUTE(SUBSTITUTE('[1]R-2010'!H126,".",""),"/",""),"-","")),"00000000000"),"")</f>
        <v>3420933000126</v>
      </c>
      <c r="D126" s="5">
        <f>IFERROR('[1]R-2010'!J126,"")</f>
        <v>45839</v>
      </c>
      <c r="E126" s="15" t="str">
        <f>""</f>
        <v/>
      </c>
      <c r="F126" s="15"/>
      <c r="G126" s="16">
        <f>IFERROR('[1]R-2010'!L126,"")</f>
        <v>2001.98</v>
      </c>
      <c r="H126" s="17">
        <f t="shared" si="5"/>
        <v>0</v>
      </c>
      <c r="I126" s="17">
        <f t="shared" si="6"/>
        <v>0</v>
      </c>
      <c r="J126" s="17">
        <f t="shared" si="7"/>
        <v>0</v>
      </c>
    </row>
    <row r="127" spans="1:10" ht="13.5" thickBot="1">
      <c r="A127" s="15" t="str">
        <f>IF('[1]R-2010'!H127&lt;&gt;"","07974082000114","")</f>
        <v>07974082000114</v>
      </c>
      <c r="B127" s="15" t="str">
        <f t="shared" si="4"/>
        <v>07974082000114</v>
      </c>
      <c r="C127" s="15" t="str">
        <f>IFERROR(TEXT(VALUE(SUBSTITUTE(SUBSTITUTE(SUBSTITUTE('[1]R-2010'!H127,".",""),"/",""),"-","")),"00000000000"),"")</f>
        <v>3420933000126</v>
      </c>
      <c r="D127" s="5">
        <f>IFERROR('[1]R-2010'!J127,"")</f>
        <v>45839</v>
      </c>
      <c r="E127" s="15" t="str">
        <f>""</f>
        <v/>
      </c>
      <c r="F127" s="15"/>
      <c r="G127" s="16">
        <f>IFERROR('[1]R-2010'!L127,"")</f>
        <v>5707.8</v>
      </c>
      <c r="H127" s="17">
        <f t="shared" si="5"/>
        <v>0</v>
      </c>
      <c r="I127" s="17">
        <f t="shared" si="6"/>
        <v>0</v>
      </c>
      <c r="J127" s="17">
        <f t="shared" si="7"/>
        <v>0</v>
      </c>
    </row>
    <row r="128" spans="1:10" ht="13.5" thickBot="1">
      <c r="A128" s="15" t="str">
        <f>IF('[1]R-2010'!H128&lt;&gt;"","07974082000114","")</f>
        <v>07974082000114</v>
      </c>
      <c r="B128" s="15" t="str">
        <f t="shared" si="4"/>
        <v>07974082000114</v>
      </c>
      <c r="C128" s="15" t="str">
        <f>IFERROR(TEXT(VALUE(SUBSTITUTE(SUBSTITUTE(SUBSTITUTE('[1]R-2010'!H128,".",""),"/",""),"-","")),"00000000000"),"")</f>
        <v>3420933000126</v>
      </c>
      <c r="D128" s="5">
        <f>IFERROR('[1]R-2010'!J128,"")</f>
        <v>45839</v>
      </c>
      <c r="E128" s="15" t="str">
        <f>""</f>
        <v/>
      </c>
      <c r="F128" s="15"/>
      <c r="G128" s="16">
        <f>IFERROR('[1]R-2010'!L128,"")</f>
        <v>5944.68</v>
      </c>
      <c r="H128" s="17">
        <f t="shared" si="5"/>
        <v>0</v>
      </c>
      <c r="I128" s="17">
        <f t="shared" si="6"/>
        <v>0</v>
      </c>
      <c r="J128" s="17">
        <f t="shared" si="7"/>
        <v>0</v>
      </c>
    </row>
    <row r="129" spans="1:10" ht="13.5" thickBot="1">
      <c r="A129" s="15" t="str">
        <f>IF('[1]R-2010'!H129&lt;&gt;"","07974082000114","")</f>
        <v>07974082000114</v>
      </c>
      <c r="B129" s="15" t="str">
        <f t="shared" si="4"/>
        <v>07974082000114</v>
      </c>
      <c r="C129" s="15" t="str">
        <f>IFERROR(TEXT(VALUE(SUBSTITUTE(SUBSTITUTE(SUBSTITUTE('[1]R-2010'!H129,".",""),"/",""),"-","")),"00000000000"),"")</f>
        <v>2130122000128</v>
      </c>
      <c r="D129" s="5">
        <f>IFERROR('[1]R-2010'!J129,"")</f>
        <v>45839</v>
      </c>
      <c r="E129" s="15" t="str">
        <f>""</f>
        <v/>
      </c>
      <c r="F129" s="15"/>
      <c r="G129" s="16">
        <f>IFERROR('[1]R-2010'!L129,"")</f>
        <v>1150</v>
      </c>
      <c r="H129" s="17">
        <f t="shared" si="5"/>
        <v>0</v>
      </c>
      <c r="I129" s="17">
        <f t="shared" si="6"/>
        <v>0</v>
      </c>
      <c r="J129" s="17">
        <f t="shared" si="7"/>
        <v>0</v>
      </c>
    </row>
    <row r="130" spans="1:10" ht="13.5" thickBot="1">
      <c r="A130" s="15" t="str">
        <f>IF('[1]R-2010'!H130&lt;&gt;"","07974082000114","")</f>
        <v>07974082000114</v>
      </c>
      <c r="B130" s="15" t="str">
        <f t="shared" si="4"/>
        <v>07974082000114</v>
      </c>
      <c r="C130" s="15" t="str">
        <f>IFERROR(TEXT(VALUE(SUBSTITUTE(SUBSTITUTE(SUBSTITUTE('[1]R-2010'!H130,".",""),"/",""),"-","")),"00000000000"),"")</f>
        <v>30994850000113</v>
      </c>
      <c r="D130" s="5">
        <f>IFERROR('[1]R-2010'!J130,"")</f>
        <v>45839</v>
      </c>
      <c r="E130" s="15" t="str">
        <f>""</f>
        <v/>
      </c>
      <c r="F130" s="15"/>
      <c r="G130" s="16">
        <f>IFERROR('[1]R-2010'!L130,"")</f>
        <v>333851.55</v>
      </c>
      <c r="H130" s="17">
        <f t="shared" si="5"/>
        <v>0</v>
      </c>
      <c r="I130" s="17">
        <f t="shared" si="6"/>
        <v>0</v>
      </c>
      <c r="J130" s="17">
        <f t="shared" si="7"/>
        <v>0</v>
      </c>
    </row>
    <row r="131" spans="1:10" ht="13.5" thickBot="1">
      <c r="A131" s="15" t="str">
        <f>IF('[1]R-2010'!H131&lt;&gt;"","07974082000114","")</f>
        <v>07974082000114</v>
      </c>
      <c r="B131" s="15" t="str">
        <f t="shared" ref="B131:B194" si="8">IF(A131&lt;&gt;"",A131,"")</f>
        <v>07974082000114</v>
      </c>
      <c r="C131" s="15" t="str">
        <f>IFERROR(TEXT(VALUE(SUBSTITUTE(SUBSTITUTE(SUBSTITUTE('[1]R-2010'!H131,".",""),"/",""),"-","")),"00000000000"),"")</f>
        <v>22594152000100</v>
      </c>
      <c r="D131" s="5">
        <f>IFERROR('[1]R-2010'!J131,"")</f>
        <v>45839</v>
      </c>
      <c r="E131" s="15" t="str">
        <f>""</f>
        <v/>
      </c>
      <c r="F131" s="15"/>
      <c r="G131" s="16">
        <f>IFERROR('[1]R-2010'!L131,"")</f>
        <v>100000</v>
      </c>
      <c r="H131" s="17">
        <f t="shared" ref="H131:H194" si="9">IF(C131&lt;&gt;"",0,"")</f>
        <v>0</v>
      </c>
      <c r="I131" s="17">
        <f t="shared" ref="I131:I194" si="10">IF(C131&lt;&gt;"",0,"")</f>
        <v>0</v>
      </c>
      <c r="J131" s="17">
        <f t="shared" ref="J131:J194" si="11">IF(C131&lt;&gt;"",0,"")</f>
        <v>0</v>
      </c>
    </row>
    <row r="132" spans="1:10" ht="13.5" thickBot="1">
      <c r="A132" s="15" t="str">
        <f>IF('[1]R-2010'!H132&lt;&gt;"","07974082000114","")</f>
        <v>07974082000114</v>
      </c>
      <c r="B132" s="15" t="str">
        <f t="shared" si="8"/>
        <v>07974082000114</v>
      </c>
      <c r="C132" s="15" t="str">
        <f>IFERROR(TEXT(VALUE(SUBSTITUTE(SUBSTITUTE(SUBSTITUTE('[1]R-2010'!H132,".",""),"/",""),"-","")),"00000000000"),"")</f>
        <v>27298172000140</v>
      </c>
      <c r="D132" s="5">
        <f>IFERROR('[1]R-2010'!J132,"")</f>
        <v>45839</v>
      </c>
      <c r="E132" s="15" t="str">
        <f>""</f>
        <v/>
      </c>
      <c r="F132" s="15"/>
      <c r="G132" s="16">
        <f>IFERROR('[1]R-2010'!L132,"")</f>
        <v>11920</v>
      </c>
      <c r="H132" s="17">
        <f t="shared" si="9"/>
        <v>0</v>
      </c>
      <c r="I132" s="17">
        <f t="shared" si="10"/>
        <v>0</v>
      </c>
      <c r="J132" s="17">
        <f t="shared" si="11"/>
        <v>0</v>
      </c>
    </row>
    <row r="133" spans="1:10" ht="13.5" thickBot="1">
      <c r="A133" s="15" t="str">
        <f>IF('[1]R-2010'!H133&lt;&gt;"","07974082000114","")</f>
        <v>07974082000114</v>
      </c>
      <c r="B133" s="15" t="str">
        <f t="shared" si="8"/>
        <v>07974082000114</v>
      </c>
      <c r="C133" s="15" t="str">
        <f>IFERROR(TEXT(VALUE(SUBSTITUTE(SUBSTITUTE(SUBSTITUTE('[1]R-2010'!H133,".",""),"/",""),"-","")),"00000000000"),"")</f>
        <v>27298172000140</v>
      </c>
      <c r="D133" s="5">
        <f>IFERROR('[1]R-2010'!J133,"")</f>
        <v>45839</v>
      </c>
      <c r="E133" s="15" t="str">
        <f>""</f>
        <v/>
      </c>
      <c r="F133" s="15"/>
      <c r="G133" s="16">
        <f>IFERROR('[1]R-2010'!L133,"")</f>
        <v>71060</v>
      </c>
      <c r="H133" s="17">
        <f t="shared" si="9"/>
        <v>0</v>
      </c>
      <c r="I133" s="17">
        <f t="shared" si="10"/>
        <v>0</v>
      </c>
      <c r="J133" s="17">
        <f t="shared" si="11"/>
        <v>0</v>
      </c>
    </row>
    <row r="134" spans="1:10" ht="13.5" thickBot="1">
      <c r="A134" s="15" t="str">
        <f>IF('[1]R-2010'!H134&lt;&gt;"","07974082000114","")</f>
        <v>07974082000114</v>
      </c>
      <c r="B134" s="15" t="str">
        <f t="shared" si="8"/>
        <v>07974082000114</v>
      </c>
      <c r="C134" s="15" t="str">
        <f>IFERROR(TEXT(VALUE(SUBSTITUTE(SUBSTITUTE(SUBSTITUTE('[1]R-2010'!H134,".",""),"/",""),"-","")),"00000000000"),"")</f>
        <v>30994850000113</v>
      </c>
      <c r="D134" s="5">
        <f>IFERROR('[1]R-2010'!J134,"")</f>
        <v>45839</v>
      </c>
      <c r="E134" s="15" t="str">
        <f>""</f>
        <v/>
      </c>
      <c r="F134" s="15"/>
      <c r="G134" s="16">
        <f>IFERROR('[1]R-2010'!L134,"")</f>
        <v>189935.26</v>
      </c>
      <c r="H134" s="17">
        <f t="shared" si="9"/>
        <v>0</v>
      </c>
      <c r="I134" s="17">
        <f t="shared" si="10"/>
        <v>0</v>
      </c>
      <c r="J134" s="17">
        <f t="shared" si="11"/>
        <v>0</v>
      </c>
    </row>
    <row r="135" spans="1:10" ht="13.5" thickBot="1">
      <c r="A135" s="15" t="str">
        <f>IF('[1]R-2010'!H135&lt;&gt;"","07974082000114","")</f>
        <v>07974082000114</v>
      </c>
      <c r="B135" s="15" t="str">
        <f t="shared" si="8"/>
        <v>07974082000114</v>
      </c>
      <c r="C135" s="15" t="str">
        <f>IFERROR(TEXT(VALUE(SUBSTITUTE(SUBSTITUTE(SUBSTITUTE('[1]R-2010'!H135,".",""),"/",""),"-","")),"00000000000"),"")</f>
        <v>3420933000126</v>
      </c>
      <c r="D135" s="5">
        <f>IFERROR('[1]R-2010'!J135,"")</f>
        <v>45839</v>
      </c>
      <c r="E135" s="15" t="str">
        <f>""</f>
        <v/>
      </c>
      <c r="F135" s="15"/>
      <c r="G135" s="16">
        <f>IFERROR('[1]R-2010'!L135,"")</f>
        <v>10560.15</v>
      </c>
      <c r="H135" s="17">
        <f t="shared" si="9"/>
        <v>0</v>
      </c>
      <c r="I135" s="17">
        <f t="shared" si="10"/>
        <v>0</v>
      </c>
      <c r="J135" s="17">
        <f t="shared" si="11"/>
        <v>0</v>
      </c>
    </row>
    <row r="136" spans="1:10" ht="13.5" thickBot="1">
      <c r="A136" s="15" t="str">
        <f>IF('[1]R-2010'!H136&lt;&gt;"","07974082000114","")</f>
        <v>07974082000114</v>
      </c>
      <c r="B136" s="15" t="str">
        <f t="shared" si="8"/>
        <v>07974082000114</v>
      </c>
      <c r="C136" s="15" t="str">
        <f>IFERROR(TEXT(VALUE(SUBSTITUTE(SUBSTITUTE(SUBSTITUTE('[1]R-2010'!H136,".",""),"/",""),"-","")),"00000000000"),"")</f>
        <v>3420933000126</v>
      </c>
      <c r="D136" s="5">
        <f>IFERROR('[1]R-2010'!J136,"")</f>
        <v>45839</v>
      </c>
      <c r="E136" s="15" t="str">
        <f>""</f>
        <v/>
      </c>
      <c r="F136" s="15"/>
      <c r="G136" s="16">
        <f>IFERROR('[1]R-2010'!L136,"")</f>
        <v>12697.5</v>
      </c>
      <c r="H136" s="17">
        <f t="shared" si="9"/>
        <v>0</v>
      </c>
      <c r="I136" s="17">
        <f t="shared" si="10"/>
        <v>0</v>
      </c>
      <c r="J136" s="17">
        <f t="shared" si="11"/>
        <v>0</v>
      </c>
    </row>
    <row r="137" spans="1:10" ht="13.5" thickBot="1">
      <c r="A137" s="15" t="str">
        <f>IF('[1]R-2010'!H137&lt;&gt;"","07974082000114","")</f>
        <v>07974082000114</v>
      </c>
      <c r="B137" s="15" t="str">
        <f t="shared" si="8"/>
        <v>07974082000114</v>
      </c>
      <c r="C137" s="15" t="str">
        <f>IFERROR(TEXT(VALUE(SUBSTITUTE(SUBSTITUTE(SUBSTITUTE('[1]R-2010'!H137,".",""),"/",""),"-","")),"00000000000"),"")</f>
        <v>3420933000126</v>
      </c>
      <c r="D137" s="5">
        <f>IFERROR('[1]R-2010'!J137,"")</f>
        <v>45839</v>
      </c>
      <c r="E137" s="15" t="str">
        <f>""</f>
        <v/>
      </c>
      <c r="F137" s="15"/>
      <c r="G137" s="16">
        <f>IFERROR('[1]R-2010'!L137,"")</f>
        <v>12697.5</v>
      </c>
      <c r="H137" s="17">
        <f t="shared" si="9"/>
        <v>0</v>
      </c>
      <c r="I137" s="17">
        <f t="shared" si="10"/>
        <v>0</v>
      </c>
      <c r="J137" s="17">
        <f t="shared" si="11"/>
        <v>0</v>
      </c>
    </row>
    <row r="138" spans="1:10" ht="13.5" thickBot="1">
      <c r="A138" s="15" t="str">
        <f>IF('[1]R-2010'!H138&lt;&gt;"","07974082000114","")</f>
        <v>07974082000114</v>
      </c>
      <c r="B138" s="15" t="str">
        <f t="shared" si="8"/>
        <v>07974082000114</v>
      </c>
      <c r="C138" s="15" t="str">
        <f>IFERROR(TEXT(VALUE(SUBSTITUTE(SUBSTITUTE(SUBSTITUTE('[1]R-2010'!H138,".",""),"/",""),"-","")),"00000000000"),"")</f>
        <v>3420933000126</v>
      </c>
      <c r="D138" s="5">
        <f>IFERROR('[1]R-2010'!J138,"")</f>
        <v>45839</v>
      </c>
      <c r="E138" s="15" t="str">
        <f>""</f>
        <v/>
      </c>
      <c r="F138" s="15"/>
      <c r="G138" s="16">
        <f>IFERROR('[1]R-2010'!L138,"")</f>
        <v>14657.5</v>
      </c>
      <c r="H138" s="17">
        <f t="shared" si="9"/>
        <v>0</v>
      </c>
      <c r="I138" s="17">
        <f t="shared" si="10"/>
        <v>0</v>
      </c>
      <c r="J138" s="17">
        <f t="shared" si="11"/>
        <v>0</v>
      </c>
    </row>
    <row r="139" spans="1:10" ht="13.5" thickBot="1">
      <c r="A139" s="15" t="str">
        <f>IF('[1]R-2010'!H139&lt;&gt;"","07974082000114","")</f>
        <v>07974082000114</v>
      </c>
      <c r="B139" s="15" t="str">
        <f t="shared" si="8"/>
        <v>07974082000114</v>
      </c>
      <c r="C139" s="15" t="str">
        <f>IFERROR(TEXT(VALUE(SUBSTITUTE(SUBSTITUTE(SUBSTITUTE('[1]R-2010'!H139,".",""),"/",""),"-","")),"00000000000"),"")</f>
        <v>4238951000154</v>
      </c>
      <c r="D139" s="5">
        <f>IFERROR('[1]R-2010'!J139,"")</f>
        <v>45839</v>
      </c>
      <c r="E139" s="15" t="str">
        <f>""</f>
        <v/>
      </c>
      <c r="F139" s="15"/>
      <c r="G139" s="16">
        <f>IFERROR('[1]R-2010'!L139,"")</f>
        <v>19400</v>
      </c>
      <c r="H139" s="17">
        <f t="shared" si="9"/>
        <v>0</v>
      </c>
      <c r="I139" s="17">
        <f t="shared" si="10"/>
        <v>0</v>
      </c>
      <c r="J139" s="17">
        <f t="shared" si="11"/>
        <v>0</v>
      </c>
    </row>
    <row r="140" spans="1:10" ht="13.5" thickBot="1">
      <c r="A140" s="15" t="str">
        <f>IF('[1]R-2010'!H140&lt;&gt;"","07974082000114","")</f>
        <v>07974082000114</v>
      </c>
      <c r="B140" s="15" t="str">
        <f t="shared" si="8"/>
        <v>07974082000114</v>
      </c>
      <c r="C140" s="15" t="str">
        <f>IFERROR(TEXT(VALUE(SUBSTITUTE(SUBSTITUTE(SUBSTITUTE('[1]R-2010'!H140,".",""),"/",""),"-","")),"00000000000"),"")</f>
        <v>30994850000113</v>
      </c>
      <c r="D140" s="5">
        <f>IFERROR('[1]R-2010'!J140,"")</f>
        <v>45839</v>
      </c>
      <c r="E140" s="15" t="str">
        <f>""</f>
        <v/>
      </c>
      <c r="F140" s="15"/>
      <c r="G140" s="16">
        <f>IFERROR('[1]R-2010'!L140,"")</f>
        <v>300000</v>
      </c>
      <c r="H140" s="17">
        <f t="shared" si="9"/>
        <v>0</v>
      </c>
      <c r="I140" s="17">
        <f t="shared" si="10"/>
        <v>0</v>
      </c>
      <c r="J140" s="17">
        <f t="shared" si="11"/>
        <v>0</v>
      </c>
    </row>
    <row r="141" spans="1:10" ht="13.5" thickBot="1">
      <c r="A141" s="15" t="str">
        <f>IF('[1]R-2010'!H141&lt;&gt;"","07974082000114","")</f>
        <v>07974082000114</v>
      </c>
      <c r="B141" s="15" t="str">
        <f t="shared" si="8"/>
        <v>07974082000114</v>
      </c>
      <c r="C141" s="15" t="str">
        <f>IFERROR(TEXT(VALUE(SUBSTITUTE(SUBSTITUTE(SUBSTITUTE('[1]R-2010'!H141,".",""),"/",""),"-","")),"00000000000"),"")</f>
        <v>33921755000188</v>
      </c>
      <c r="D141" s="5">
        <f>IFERROR('[1]R-2010'!J141,"")</f>
        <v>45839</v>
      </c>
      <c r="E141" s="15" t="str">
        <f>""</f>
        <v/>
      </c>
      <c r="F141" s="15"/>
      <c r="G141" s="16">
        <f>IFERROR('[1]R-2010'!L141,"")</f>
        <v>4700</v>
      </c>
      <c r="H141" s="17">
        <f t="shared" si="9"/>
        <v>0</v>
      </c>
      <c r="I141" s="17">
        <f t="shared" si="10"/>
        <v>0</v>
      </c>
      <c r="J141" s="17">
        <f t="shared" si="11"/>
        <v>0</v>
      </c>
    </row>
    <row r="142" spans="1:10" ht="13.5" thickBot="1">
      <c r="A142" s="15" t="str">
        <f>IF('[1]R-2010'!H142&lt;&gt;"","07974082000114","")</f>
        <v>07974082000114</v>
      </c>
      <c r="B142" s="15" t="str">
        <f t="shared" si="8"/>
        <v>07974082000114</v>
      </c>
      <c r="C142" s="15" t="str">
        <f>IFERROR(TEXT(VALUE(SUBSTITUTE(SUBSTITUTE(SUBSTITUTE('[1]R-2010'!H142,".",""),"/",""),"-","")),"00000000000"),"")</f>
        <v>27467105000101</v>
      </c>
      <c r="D142" s="5">
        <f>IFERROR('[1]R-2010'!J142,"")</f>
        <v>45839</v>
      </c>
      <c r="E142" s="15" t="str">
        <f>""</f>
        <v/>
      </c>
      <c r="F142" s="15"/>
      <c r="G142" s="16">
        <f>IFERROR('[1]R-2010'!L142,"")</f>
        <v>10342.56</v>
      </c>
      <c r="H142" s="17">
        <f t="shared" si="9"/>
        <v>0</v>
      </c>
      <c r="I142" s="17">
        <f t="shared" si="10"/>
        <v>0</v>
      </c>
      <c r="J142" s="17">
        <f t="shared" si="11"/>
        <v>0</v>
      </c>
    </row>
    <row r="143" spans="1:10" ht="13.5" thickBot="1">
      <c r="A143" s="15" t="str">
        <f>IF('[1]R-2010'!H143&lt;&gt;"","07974082000114","")</f>
        <v>07974082000114</v>
      </c>
      <c r="B143" s="15" t="str">
        <f t="shared" si="8"/>
        <v>07974082000114</v>
      </c>
      <c r="C143" s="15" t="str">
        <f>IFERROR(TEXT(VALUE(SUBSTITUTE(SUBSTITUTE(SUBSTITUTE('[1]R-2010'!H143,".",""),"/",""),"-","")),"00000000000"),"")</f>
        <v>27467105000101</v>
      </c>
      <c r="D143" s="5">
        <f>IFERROR('[1]R-2010'!J143,"")</f>
        <v>45839</v>
      </c>
      <c r="E143" s="15" t="str">
        <f>""</f>
        <v/>
      </c>
      <c r="F143" s="15"/>
      <c r="G143" s="16">
        <f>IFERROR('[1]R-2010'!L143,"")</f>
        <v>21569.11</v>
      </c>
      <c r="H143" s="17">
        <f t="shared" si="9"/>
        <v>0</v>
      </c>
      <c r="I143" s="17">
        <f t="shared" si="10"/>
        <v>0</v>
      </c>
      <c r="J143" s="17">
        <f t="shared" si="11"/>
        <v>0</v>
      </c>
    </row>
    <row r="144" spans="1:10" ht="13.5" thickBot="1">
      <c r="A144" s="15" t="str">
        <f>IF('[1]R-2010'!H144&lt;&gt;"","07974082000114","")</f>
        <v>07974082000114</v>
      </c>
      <c r="B144" s="15" t="str">
        <f t="shared" si="8"/>
        <v>07974082000114</v>
      </c>
      <c r="C144" s="15" t="str">
        <f>IFERROR(TEXT(VALUE(SUBSTITUTE(SUBSTITUTE(SUBSTITUTE('[1]R-2010'!H144,".",""),"/",""),"-","")),"00000000000"),"")</f>
        <v>27467105000101</v>
      </c>
      <c r="D144" s="5">
        <f>IFERROR('[1]R-2010'!J144,"")</f>
        <v>45839</v>
      </c>
      <c r="E144" s="15" t="str">
        <f>""</f>
        <v/>
      </c>
      <c r="F144" s="15"/>
      <c r="G144" s="16">
        <f>IFERROR('[1]R-2010'!L144,"")</f>
        <v>30497.31</v>
      </c>
      <c r="H144" s="17">
        <f t="shared" si="9"/>
        <v>0</v>
      </c>
      <c r="I144" s="17">
        <f t="shared" si="10"/>
        <v>0</v>
      </c>
      <c r="J144" s="17">
        <f t="shared" si="11"/>
        <v>0</v>
      </c>
    </row>
    <row r="145" spans="1:10" ht="13.5" thickBot="1">
      <c r="A145" s="15" t="str">
        <f>IF('[1]R-2010'!H145&lt;&gt;"","07974082000114","")</f>
        <v>07974082000114</v>
      </c>
      <c r="B145" s="15" t="str">
        <f t="shared" si="8"/>
        <v>07974082000114</v>
      </c>
      <c r="C145" s="15" t="str">
        <f>IFERROR(TEXT(VALUE(SUBSTITUTE(SUBSTITUTE(SUBSTITUTE('[1]R-2010'!H145,".",""),"/",""),"-","")),"00000000000"),"")</f>
        <v>22594152000100</v>
      </c>
      <c r="D145" s="5">
        <f>IFERROR('[1]R-2010'!J145,"")</f>
        <v>45839</v>
      </c>
      <c r="E145" s="15" t="str">
        <f>""</f>
        <v/>
      </c>
      <c r="F145" s="15"/>
      <c r="G145" s="16">
        <f>IFERROR('[1]R-2010'!L145,"")</f>
        <v>50000</v>
      </c>
      <c r="H145" s="17">
        <f t="shared" si="9"/>
        <v>0</v>
      </c>
      <c r="I145" s="17">
        <f t="shared" si="10"/>
        <v>0</v>
      </c>
      <c r="J145" s="17">
        <f t="shared" si="11"/>
        <v>0</v>
      </c>
    </row>
    <row r="146" spans="1:10" ht="13.5" thickBot="1">
      <c r="A146" s="15" t="str">
        <f>IF('[1]R-2010'!H146&lt;&gt;"","07974082000114","")</f>
        <v>07974082000114</v>
      </c>
      <c r="B146" s="15" t="str">
        <f t="shared" si="8"/>
        <v>07974082000114</v>
      </c>
      <c r="C146" s="15" t="str">
        <f>IFERROR(TEXT(VALUE(SUBSTITUTE(SUBSTITUTE(SUBSTITUTE('[1]R-2010'!H146,".",""),"/",""),"-","")),"00000000000"),"")</f>
        <v>3420933000126</v>
      </c>
      <c r="D146" s="5">
        <f>IFERROR('[1]R-2010'!J146,"")</f>
        <v>45839</v>
      </c>
      <c r="E146" s="15" t="str">
        <f>""</f>
        <v/>
      </c>
      <c r="F146" s="15"/>
      <c r="G146" s="16">
        <f>IFERROR('[1]R-2010'!L146,"")</f>
        <v>711.58</v>
      </c>
      <c r="H146" s="17">
        <f t="shared" si="9"/>
        <v>0</v>
      </c>
      <c r="I146" s="17">
        <f t="shared" si="10"/>
        <v>0</v>
      </c>
      <c r="J146" s="17">
        <f t="shared" si="11"/>
        <v>0</v>
      </c>
    </row>
    <row r="147" spans="1:10" ht="13.5" thickBot="1">
      <c r="A147" s="15" t="str">
        <f>IF('[1]R-2010'!H147&lt;&gt;"","07974082000114","")</f>
        <v>07974082000114</v>
      </c>
      <c r="B147" s="15" t="str">
        <f t="shared" si="8"/>
        <v>07974082000114</v>
      </c>
      <c r="C147" s="15" t="str">
        <f>IFERROR(TEXT(VALUE(SUBSTITUTE(SUBSTITUTE(SUBSTITUTE('[1]R-2010'!H147,".",""),"/",""),"-","")),"00000000000"),"")</f>
        <v>3420933000126</v>
      </c>
      <c r="D147" s="5">
        <f>IFERROR('[1]R-2010'!J147,"")</f>
        <v>45839</v>
      </c>
      <c r="E147" s="15" t="str">
        <f>""</f>
        <v/>
      </c>
      <c r="F147" s="15"/>
      <c r="G147" s="16">
        <f>IFERROR('[1]R-2010'!L147,"")</f>
        <v>711.58</v>
      </c>
      <c r="H147" s="17">
        <f t="shared" si="9"/>
        <v>0</v>
      </c>
      <c r="I147" s="17">
        <f t="shared" si="10"/>
        <v>0</v>
      </c>
      <c r="J147" s="17">
        <f t="shared" si="11"/>
        <v>0</v>
      </c>
    </row>
    <row r="148" spans="1:10" ht="13.5" thickBot="1">
      <c r="A148" s="15" t="str">
        <f>IF('[1]R-2010'!H148&lt;&gt;"","07974082000114","")</f>
        <v>07974082000114</v>
      </c>
      <c r="B148" s="15" t="str">
        <f t="shared" si="8"/>
        <v>07974082000114</v>
      </c>
      <c r="C148" s="15" t="str">
        <f>IFERROR(TEXT(VALUE(SUBSTITUTE(SUBSTITUTE(SUBSTITUTE('[1]R-2010'!H148,".",""),"/",""),"-","")),"00000000000"),"")</f>
        <v>3420933000126</v>
      </c>
      <c r="D148" s="5">
        <f>IFERROR('[1]R-2010'!J148,"")</f>
        <v>45839</v>
      </c>
      <c r="E148" s="15" t="str">
        <f>""</f>
        <v/>
      </c>
      <c r="F148" s="15"/>
      <c r="G148" s="16">
        <f>IFERROR('[1]R-2010'!L148,"")</f>
        <v>711.58</v>
      </c>
      <c r="H148" s="17">
        <f t="shared" si="9"/>
        <v>0</v>
      </c>
      <c r="I148" s="17">
        <f t="shared" si="10"/>
        <v>0</v>
      </c>
      <c r="J148" s="17">
        <f t="shared" si="11"/>
        <v>0</v>
      </c>
    </row>
    <row r="149" spans="1:10" ht="13.5" thickBot="1">
      <c r="A149" s="15" t="str">
        <f>IF('[1]R-2010'!H149&lt;&gt;"","07974082000114","")</f>
        <v>07974082000114</v>
      </c>
      <c r="B149" s="15" t="str">
        <f t="shared" si="8"/>
        <v>07974082000114</v>
      </c>
      <c r="C149" s="15" t="str">
        <f>IFERROR(TEXT(VALUE(SUBSTITUTE(SUBSTITUTE(SUBSTITUTE('[1]R-2010'!H149,".",""),"/",""),"-","")),"00000000000"),"")</f>
        <v>3420933000126</v>
      </c>
      <c r="D149" s="5">
        <f>IFERROR('[1]R-2010'!J149,"")</f>
        <v>45839</v>
      </c>
      <c r="E149" s="15" t="str">
        <f>""</f>
        <v/>
      </c>
      <c r="F149" s="15"/>
      <c r="G149" s="16">
        <f>IFERROR('[1]R-2010'!L149,"")</f>
        <v>711.58</v>
      </c>
      <c r="H149" s="17">
        <f t="shared" si="9"/>
        <v>0</v>
      </c>
      <c r="I149" s="17">
        <f t="shared" si="10"/>
        <v>0</v>
      </c>
      <c r="J149" s="17">
        <f t="shared" si="11"/>
        <v>0</v>
      </c>
    </row>
    <row r="150" spans="1:10" ht="13.5" thickBot="1">
      <c r="A150" s="15" t="str">
        <f>IF('[1]R-2010'!H150&lt;&gt;"","07974082000114","")</f>
        <v>07974082000114</v>
      </c>
      <c r="B150" s="15" t="str">
        <f t="shared" si="8"/>
        <v>07974082000114</v>
      </c>
      <c r="C150" s="15" t="str">
        <f>IFERROR(TEXT(VALUE(SUBSTITUTE(SUBSTITUTE(SUBSTITUTE('[1]R-2010'!H150,".",""),"/",""),"-","")),"00000000000"),"")</f>
        <v>3420933000126</v>
      </c>
      <c r="D150" s="5">
        <f>IFERROR('[1]R-2010'!J150,"")</f>
        <v>45839</v>
      </c>
      <c r="E150" s="15" t="str">
        <f>""</f>
        <v/>
      </c>
      <c r="F150" s="15"/>
      <c r="G150" s="16">
        <f>IFERROR('[1]R-2010'!L150,"")</f>
        <v>1000</v>
      </c>
      <c r="H150" s="17">
        <f t="shared" si="9"/>
        <v>0</v>
      </c>
      <c r="I150" s="17">
        <f t="shared" si="10"/>
        <v>0</v>
      </c>
      <c r="J150" s="17">
        <f t="shared" si="11"/>
        <v>0</v>
      </c>
    </row>
    <row r="151" spans="1:10" ht="13.5" thickBot="1">
      <c r="A151" s="15" t="str">
        <f>IF('[1]R-2010'!H151&lt;&gt;"","07974082000114","")</f>
        <v>07974082000114</v>
      </c>
      <c r="B151" s="15" t="str">
        <f t="shared" si="8"/>
        <v>07974082000114</v>
      </c>
      <c r="C151" s="15" t="str">
        <f>IFERROR(TEXT(VALUE(SUBSTITUTE(SUBSTITUTE(SUBSTITUTE('[1]R-2010'!H151,".",""),"/",""),"-","")),"00000000000"),"")</f>
        <v>3420933000126</v>
      </c>
      <c r="D151" s="5">
        <f>IFERROR('[1]R-2010'!J151,"")</f>
        <v>45839</v>
      </c>
      <c r="E151" s="15" t="str">
        <f>""</f>
        <v/>
      </c>
      <c r="F151" s="15"/>
      <c r="G151" s="16">
        <f>IFERROR('[1]R-2010'!L151,"")</f>
        <v>1113.4000000000001</v>
      </c>
      <c r="H151" s="17">
        <f t="shared" si="9"/>
        <v>0</v>
      </c>
      <c r="I151" s="17">
        <f t="shared" si="10"/>
        <v>0</v>
      </c>
      <c r="J151" s="17">
        <f t="shared" si="11"/>
        <v>0</v>
      </c>
    </row>
    <row r="152" spans="1:10" ht="13.5" thickBot="1">
      <c r="A152" s="15" t="str">
        <f>IF('[1]R-2010'!H152&lt;&gt;"","07974082000114","")</f>
        <v>07974082000114</v>
      </c>
      <c r="B152" s="15" t="str">
        <f t="shared" si="8"/>
        <v>07974082000114</v>
      </c>
      <c r="C152" s="15" t="str">
        <f>IFERROR(TEXT(VALUE(SUBSTITUTE(SUBSTITUTE(SUBSTITUTE('[1]R-2010'!H152,".",""),"/",""),"-","")),"00000000000"),"")</f>
        <v>3420933000126</v>
      </c>
      <c r="D152" s="5">
        <f>IFERROR('[1]R-2010'!J152,"")</f>
        <v>45839</v>
      </c>
      <c r="E152" s="15" t="str">
        <f>""</f>
        <v/>
      </c>
      <c r="F152" s="15"/>
      <c r="G152" s="16">
        <f>IFERROR('[1]R-2010'!L152,"")</f>
        <v>1113.4000000000001</v>
      </c>
      <c r="H152" s="17">
        <f t="shared" si="9"/>
        <v>0</v>
      </c>
      <c r="I152" s="17">
        <f t="shared" si="10"/>
        <v>0</v>
      </c>
      <c r="J152" s="17">
        <f t="shared" si="11"/>
        <v>0</v>
      </c>
    </row>
    <row r="153" spans="1:10" ht="13.5" thickBot="1">
      <c r="A153" s="15" t="str">
        <f>IF('[1]R-2010'!H153&lt;&gt;"","07974082000114","")</f>
        <v>07974082000114</v>
      </c>
      <c r="B153" s="15" t="str">
        <f t="shared" si="8"/>
        <v>07974082000114</v>
      </c>
      <c r="C153" s="15" t="str">
        <f>IFERROR(TEXT(VALUE(SUBSTITUTE(SUBSTITUTE(SUBSTITUTE('[1]R-2010'!H153,".",""),"/",""),"-","")),"00000000000"),"")</f>
        <v>3420933000126</v>
      </c>
      <c r="D153" s="5">
        <f>IFERROR('[1]R-2010'!J153,"")</f>
        <v>45839</v>
      </c>
      <c r="E153" s="15" t="str">
        <f>""</f>
        <v/>
      </c>
      <c r="F153" s="15"/>
      <c r="G153" s="16">
        <f>IFERROR('[1]R-2010'!L153,"")</f>
        <v>1113.4000000000001</v>
      </c>
      <c r="H153" s="17">
        <f t="shared" si="9"/>
        <v>0</v>
      </c>
      <c r="I153" s="17">
        <f t="shared" si="10"/>
        <v>0</v>
      </c>
      <c r="J153" s="17">
        <f t="shared" si="11"/>
        <v>0</v>
      </c>
    </row>
    <row r="154" spans="1:10" ht="13.5" thickBot="1">
      <c r="A154" s="15" t="str">
        <f>IF('[1]R-2010'!H154&lt;&gt;"","07974082000114","")</f>
        <v>07974082000114</v>
      </c>
      <c r="B154" s="15" t="str">
        <f t="shared" si="8"/>
        <v>07974082000114</v>
      </c>
      <c r="C154" s="15" t="str">
        <f>IFERROR(TEXT(VALUE(SUBSTITUTE(SUBSTITUTE(SUBSTITUTE('[1]R-2010'!H154,".",""),"/",""),"-","")),"00000000000"),"")</f>
        <v>3420933000126</v>
      </c>
      <c r="D154" s="5">
        <f>IFERROR('[1]R-2010'!J154,"")</f>
        <v>45839</v>
      </c>
      <c r="E154" s="15" t="str">
        <f>""</f>
        <v/>
      </c>
      <c r="F154" s="15"/>
      <c r="G154" s="16">
        <f>IFERROR('[1]R-2010'!L154,"")</f>
        <v>1113.4000000000001</v>
      </c>
      <c r="H154" s="17">
        <f t="shared" si="9"/>
        <v>0</v>
      </c>
      <c r="I154" s="17">
        <f t="shared" si="10"/>
        <v>0</v>
      </c>
      <c r="J154" s="17">
        <f t="shared" si="11"/>
        <v>0</v>
      </c>
    </row>
    <row r="155" spans="1:10" ht="13.5" thickBot="1">
      <c r="A155" s="15" t="str">
        <f>IF('[1]R-2010'!H155&lt;&gt;"","07974082000114","")</f>
        <v>07974082000114</v>
      </c>
      <c r="B155" s="15" t="str">
        <f t="shared" si="8"/>
        <v>07974082000114</v>
      </c>
      <c r="C155" s="15" t="str">
        <f>IFERROR(TEXT(VALUE(SUBSTITUTE(SUBSTITUTE(SUBSTITUTE('[1]R-2010'!H155,".",""),"/",""),"-","")),"00000000000"),"")</f>
        <v>3420933000126</v>
      </c>
      <c r="D155" s="5">
        <f>IFERROR('[1]R-2010'!J155,"")</f>
        <v>45839</v>
      </c>
      <c r="E155" s="15" t="str">
        <f>""</f>
        <v/>
      </c>
      <c r="F155" s="15"/>
      <c r="G155" s="16">
        <f>IFERROR('[1]R-2010'!L155,"")</f>
        <v>1207.5999999999999</v>
      </c>
      <c r="H155" s="17">
        <f t="shared" si="9"/>
        <v>0</v>
      </c>
      <c r="I155" s="17">
        <f t="shared" si="10"/>
        <v>0</v>
      </c>
      <c r="J155" s="17">
        <f t="shared" si="11"/>
        <v>0</v>
      </c>
    </row>
    <row r="156" spans="1:10" ht="13.5" thickBot="1">
      <c r="A156" s="15" t="str">
        <f>IF('[1]R-2010'!H156&lt;&gt;"","07974082000114","")</f>
        <v>07974082000114</v>
      </c>
      <c r="B156" s="15" t="str">
        <f t="shared" si="8"/>
        <v>07974082000114</v>
      </c>
      <c r="C156" s="15" t="str">
        <f>IFERROR(TEXT(VALUE(SUBSTITUTE(SUBSTITUTE(SUBSTITUTE('[1]R-2010'!H156,".",""),"/",""),"-","")),"00000000000"),"")</f>
        <v>3420933000126</v>
      </c>
      <c r="D156" s="5">
        <f>IFERROR('[1]R-2010'!J156,"")</f>
        <v>45839</v>
      </c>
      <c r="E156" s="15" t="str">
        <f>""</f>
        <v/>
      </c>
      <c r="F156" s="15"/>
      <c r="G156" s="16">
        <f>IFERROR('[1]R-2010'!L156,"")</f>
        <v>1207.5999999999999</v>
      </c>
      <c r="H156" s="17">
        <f t="shared" si="9"/>
        <v>0</v>
      </c>
      <c r="I156" s="17">
        <f t="shared" si="10"/>
        <v>0</v>
      </c>
      <c r="J156" s="17">
        <f t="shared" si="11"/>
        <v>0</v>
      </c>
    </row>
    <row r="157" spans="1:10" ht="13.5" thickBot="1">
      <c r="A157" s="15" t="str">
        <f>IF('[1]R-2010'!H157&lt;&gt;"","07974082000114","")</f>
        <v>07974082000114</v>
      </c>
      <c r="B157" s="15" t="str">
        <f t="shared" si="8"/>
        <v>07974082000114</v>
      </c>
      <c r="C157" s="15" t="str">
        <f>IFERROR(TEXT(VALUE(SUBSTITUTE(SUBSTITUTE(SUBSTITUTE('[1]R-2010'!H157,".",""),"/",""),"-","")),"00000000000"),"")</f>
        <v>3420933000126</v>
      </c>
      <c r="D157" s="5">
        <f>IFERROR('[1]R-2010'!J157,"")</f>
        <v>45839</v>
      </c>
      <c r="E157" s="15" t="str">
        <f>""</f>
        <v/>
      </c>
      <c r="F157" s="15"/>
      <c r="G157" s="16">
        <f>IFERROR('[1]R-2010'!L157,"")</f>
        <v>1207.5999999999999</v>
      </c>
      <c r="H157" s="17">
        <f t="shared" si="9"/>
        <v>0</v>
      </c>
      <c r="I157" s="17">
        <f t="shared" si="10"/>
        <v>0</v>
      </c>
      <c r="J157" s="17">
        <f t="shared" si="11"/>
        <v>0</v>
      </c>
    </row>
    <row r="158" spans="1:10" ht="13.5" thickBot="1">
      <c r="A158" s="15" t="str">
        <f>IF('[1]R-2010'!H158&lt;&gt;"","07974082000114","")</f>
        <v>07974082000114</v>
      </c>
      <c r="B158" s="15" t="str">
        <f t="shared" si="8"/>
        <v>07974082000114</v>
      </c>
      <c r="C158" s="15" t="str">
        <f>IFERROR(TEXT(VALUE(SUBSTITUTE(SUBSTITUTE(SUBSTITUTE('[1]R-2010'!H158,".",""),"/",""),"-","")),"00000000000"),"")</f>
        <v>3420933000126</v>
      </c>
      <c r="D158" s="5">
        <f>IFERROR('[1]R-2010'!J158,"")</f>
        <v>45839</v>
      </c>
      <c r="E158" s="15" t="str">
        <f>""</f>
        <v/>
      </c>
      <c r="F158" s="15"/>
      <c r="G158" s="16">
        <f>IFERROR('[1]R-2010'!L158,"")</f>
        <v>1207.5999999999999</v>
      </c>
      <c r="H158" s="17">
        <f t="shared" si="9"/>
        <v>0</v>
      </c>
      <c r="I158" s="17">
        <f t="shared" si="10"/>
        <v>0</v>
      </c>
      <c r="J158" s="17">
        <f t="shared" si="11"/>
        <v>0</v>
      </c>
    </row>
    <row r="159" spans="1:10" ht="13.5" thickBot="1">
      <c r="A159" s="15" t="str">
        <f>IF('[1]R-2010'!H159&lt;&gt;"","07974082000114","")</f>
        <v>07974082000114</v>
      </c>
      <c r="B159" s="15" t="str">
        <f t="shared" si="8"/>
        <v>07974082000114</v>
      </c>
      <c r="C159" s="15" t="str">
        <f>IFERROR(TEXT(VALUE(SUBSTITUTE(SUBSTITUTE(SUBSTITUTE('[1]R-2010'!H159,".",""),"/",""),"-","")),"00000000000"),"")</f>
        <v>3420933000126</v>
      </c>
      <c r="D159" s="5">
        <f>IFERROR('[1]R-2010'!J159,"")</f>
        <v>45839</v>
      </c>
      <c r="E159" s="15" t="str">
        <f>""</f>
        <v/>
      </c>
      <c r="F159" s="15"/>
      <c r="G159" s="16">
        <f>IFERROR('[1]R-2010'!L159,"")</f>
        <v>1431.29</v>
      </c>
      <c r="H159" s="17">
        <f t="shared" si="9"/>
        <v>0</v>
      </c>
      <c r="I159" s="17">
        <f t="shared" si="10"/>
        <v>0</v>
      </c>
      <c r="J159" s="17">
        <f t="shared" si="11"/>
        <v>0</v>
      </c>
    </row>
    <row r="160" spans="1:10" ht="13.5" thickBot="1">
      <c r="A160" s="15" t="str">
        <f>IF('[1]R-2010'!H160&lt;&gt;"","07974082000114","")</f>
        <v>07974082000114</v>
      </c>
      <c r="B160" s="15" t="str">
        <f t="shared" si="8"/>
        <v>07974082000114</v>
      </c>
      <c r="C160" s="15" t="str">
        <f>IFERROR(TEXT(VALUE(SUBSTITUTE(SUBSTITUTE(SUBSTITUTE('[1]R-2010'!H160,".",""),"/",""),"-","")),"00000000000"),"")</f>
        <v>3420933000126</v>
      </c>
      <c r="D160" s="5">
        <f>IFERROR('[1]R-2010'!J160,"")</f>
        <v>45839</v>
      </c>
      <c r="E160" s="15" t="str">
        <f>""</f>
        <v/>
      </c>
      <c r="F160" s="15"/>
      <c r="G160" s="16">
        <f>IFERROR('[1]R-2010'!L160,"")</f>
        <v>1832.83</v>
      </c>
      <c r="H160" s="17">
        <f t="shared" si="9"/>
        <v>0</v>
      </c>
      <c r="I160" s="17">
        <f t="shared" si="10"/>
        <v>0</v>
      </c>
      <c r="J160" s="17">
        <f t="shared" si="11"/>
        <v>0</v>
      </c>
    </row>
    <row r="161" spans="1:10" ht="13.5" thickBot="1">
      <c r="A161" s="15" t="str">
        <f>IF('[1]R-2010'!H161&lt;&gt;"","07974082000114","")</f>
        <v>07974082000114</v>
      </c>
      <c r="B161" s="15" t="str">
        <f t="shared" si="8"/>
        <v>07974082000114</v>
      </c>
      <c r="C161" s="15" t="str">
        <f>IFERROR(TEXT(VALUE(SUBSTITUTE(SUBSTITUTE(SUBSTITUTE('[1]R-2010'!H161,".",""),"/",""),"-","")),"00000000000"),"")</f>
        <v>3420933000126</v>
      </c>
      <c r="D161" s="5">
        <f>IFERROR('[1]R-2010'!J161,"")</f>
        <v>45839</v>
      </c>
      <c r="E161" s="15" t="str">
        <f>""</f>
        <v/>
      </c>
      <c r="F161" s="15"/>
      <c r="G161" s="16">
        <f>IFERROR('[1]R-2010'!L161,"")</f>
        <v>1832.83</v>
      </c>
      <c r="H161" s="17">
        <f t="shared" si="9"/>
        <v>0</v>
      </c>
      <c r="I161" s="17">
        <f t="shared" si="10"/>
        <v>0</v>
      </c>
      <c r="J161" s="17">
        <f t="shared" si="11"/>
        <v>0</v>
      </c>
    </row>
    <row r="162" spans="1:10" ht="13.5" thickBot="1">
      <c r="A162" s="15" t="str">
        <f>IF('[1]R-2010'!H162&lt;&gt;"","07974082000114","")</f>
        <v>07974082000114</v>
      </c>
      <c r="B162" s="15" t="str">
        <f t="shared" si="8"/>
        <v>07974082000114</v>
      </c>
      <c r="C162" s="15" t="str">
        <f>IFERROR(TEXT(VALUE(SUBSTITUTE(SUBSTITUTE(SUBSTITUTE('[1]R-2010'!H162,".",""),"/",""),"-","")),"00000000000"),"")</f>
        <v>3420933000126</v>
      </c>
      <c r="D162" s="5">
        <f>IFERROR('[1]R-2010'!J162,"")</f>
        <v>45839</v>
      </c>
      <c r="E162" s="15" t="str">
        <f>""</f>
        <v/>
      </c>
      <c r="F162" s="15"/>
      <c r="G162" s="16">
        <f>IFERROR('[1]R-2010'!L162,"")</f>
        <v>1832.83</v>
      </c>
      <c r="H162" s="17">
        <f t="shared" si="9"/>
        <v>0</v>
      </c>
      <c r="I162" s="17">
        <f t="shared" si="10"/>
        <v>0</v>
      </c>
      <c r="J162" s="17">
        <f t="shared" si="11"/>
        <v>0</v>
      </c>
    </row>
    <row r="163" spans="1:10" ht="13.5" thickBot="1">
      <c r="A163" s="15" t="str">
        <f>IF('[1]R-2010'!H163&lt;&gt;"","07974082000114","")</f>
        <v>07974082000114</v>
      </c>
      <c r="B163" s="15" t="str">
        <f t="shared" si="8"/>
        <v>07974082000114</v>
      </c>
      <c r="C163" s="15" t="str">
        <f>IFERROR(TEXT(VALUE(SUBSTITUTE(SUBSTITUTE(SUBSTITUTE('[1]R-2010'!H163,".",""),"/",""),"-","")),"00000000000"),"")</f>
        <v>3420933000126</v>
      </c>
      <c r="D163" s="5">
        <f>IFERROR('[1]R-2010'!J163,"")</f>
        <v>45839</v>
      </c>
      <c r="E163" s="15" t="str">
        <f>""</f>
        <v/>
      </c>
      <c r="F163" s="15"/>
      <c r="G163" s="16">
        <f>IFERROR('[1]R-2010'!L163,"")</f>
        <v>1832.83</v>
      </c>
      <c r="H163" s="17">
        <f t="shared" si="9"/>
        <v>0</v>
      </c>
      <c r="I163" s="17">
        <f t="shared" si="10"/>
        <v>0</v>
      </c>
      <c r="J163" s="17">
        <f t="shared" si="11"/>
        <v>0</v>
      </c>
    </row>
    <row r="164" spans="1:10" ht="13.5" thickBot="1">
      <c r="A164" s="15" t="str">
        <f>IF('[1]R-2010'!H164&lt;&gt;"","07974082000114","")</f>
        <v>07974082000114</v>
      </c>
      <c r="B164" s="15" t="str">
        <f t="shared" si="8"/>
        <v>07974082000114</v>
      </c>
      <c r="C164" s="15" t="str">
        <f>IFERROR(TEXT(VALUE(SUBSTITUTE(SUBSTITUTE(SUBSTITUTE('[1]R-2010'!H164,".",""),"/",""),"-","")),"00000000000"),"")</f>
        <v>3420933000126</v>
      </c>
      <c r="D164" s="5">
        <f>IFERROR('[1]R-2010'!J164,"")</f>
        <v>45839</v>
      </c>
      <c r="E164" s="15" t="str">
        <f>""</f>
        <v/>
      </c>
      <c r="F164" s="15"/>
      <c r="G164" s="16">
        <f>IFERROR('[1]R-2010'!L164,"")</f>
        <v>2069.33</v>
      </c>
      <c r="H164" s="17">
        <f t="shared" si="9"/>
        <v>0</v>
      </c>
      <c r="I164" s="17">
        <f t="shared" si="10"/>
        <v>0</v>
      </c>
      <c r="J164" s="17">
        <f t="shared" si="11"/>
        <v>0</v>
      </c>
    </row>
    <row r="165" spans="1:10" ht="13.5" thickBot="1">
      <c r="A165" s="15" t="str">
        <f>IF('[1]R-2010'!H165&lt;&gt;"","07974082000114","")</f>
        <v>07974082000114</v>
      </c>
      <c r="B165" s="15" t="str">
        <f t="shared" si="8"/>
        <v>07974082000114</v>
      </c>
      <c r="C165" s="15" t="str">
        <f>IFERROR(TEXT(VALUE(SUBSTITUTE(SUBSTITUTE(SUBSTITUTE('[1]R-2010'!H165,".",""),"/",""),"-","")),"00000000000"),"")</f>
        <v>3420933000126</v>
      </c>
      <c r="D165" s="5">
        <f>IFERROR('[1]R-2010'!J165,"")</f>
        <v>45839</v>
      </c>
      <c r="E165" s="15" t="str">
        <f>""</f>
        <v/>
      </c>
      <c r="F165" s="15"/>
      <c r="G165" s="16">
        <f>IFERROR('[1]R-2010'!L165,"")</f>
        <v>2069.33</v>
      </c>
      <c r="H165" s="17">
        <f t="shared" si="9"/>
        <v>0</v>
      </c>
      <c r="I165" s="17">
        <f t="shared" si="10"/>
        <v>0</v>
      </c>
      <c r="J165" s="17">
        <f t="shared" si="11"/>
        <v>0</v>
      </c>
    </row>
    <row r="166" spans="1:10" ht="13.5" thickBot="1">
      <c r="A166" s="15" t="str">
        <f>IF('[1]R-2010'!H166&lt;&gt;"","07974082000114","")</f>
        <v>07974082000114</v>
      </c>
      <c r="B166" s="15" t="str">
        <f t="shared" si="8"/>
        <v>07974082000114</v>
      </c>
      <c r="C166" s="15" t="str">
        <f>IFERROR(TEXT(VALUE(SUBSTITUTE(SUBSTITUTE(SUBSTITUTE('[1]R-2010'!H166,".",""),"/",""),"-","")),"00000000000"),"")</f>
        <v>3420933000126</v>
      </c>
      <c r="D166" s="5">
        <f>IFERROR('[1]R-2010'!J166,"")</f>
        <v>45839</v>
      </c>
      <c r="E166" s="15" t="str">
        <f>""</f>
        <v/>
      </c>
      <c r="F166" s="15"/>
      <c r="G166" s="16">
        <f>IFERROR('[1]R-2010'!L166,"")</f>
        <v>2069.33</v>
      </c>
      <c r="H166" s="17">
        <f t="shared" si="9"/>
        <v>0</v>
      </c>
      <c r="I166" s="17">
        <f t="shared" si="10"/>
        <v>0</v>
      </c>
      <c r="J166" s="17">
        <f t="shared" si="11"/>
        <v>0</v>
      </c>
    </row>
    <row r="167" spans="1:10" ht="13.5" thickBot="1">
      <c r="A167" s="15" t="str">
        <f>IF('[1]R-2010'!H167&lt;&gt;"","07974082000114","")</f>
        <v>07974082000114</v>
      </c>
      <c r="B167" s="15" t="str">
        <f t="shared" si="8"/>
        <v>07974082000114</v>
      </c>
      <c r="C167" s="15" t="str">
        <f>IFERROR(TEXT(VALUE(SUBSTITUTE(SUBSTITUTE(SUBSTITUTE('[1]R-2010'!H167,".",""),"/",""),"-","")),"00000000000"),"")</f>
        <v>3420933000126</v>
      </c>
      <c r="D167" s="5">
        <f>IFERROR('[1]R-2010'!J167,"")</f>
        <v>45839</v>
      </c>
      <c r="E167" s="15" t="str">
        <f>""</f>
        <v/>
      </c>
      <c r="F167" s="15"/>
      <c r="G167" s="16">
        <f>IFERROR('[1]R-2010'!L167,"")</f>
        <v>2144</v>
      </c>
      <c r="H167" s="17">
        <f t="shared" si="9"/>
        <v>0</v>
      </c>
      <c r="I167" s="17">
        <f t="shared" si="10"/>
        <v>0</v>
      </c>
      <c r="J167" s="17">
        <f t="shared" si="11"/>
        <v>0</v>
      </c>
    </row>
    <row r="168" spans="1:10" ht="13.5" thickBot="1">
      <c r="A168" s="15" t="str">
        <f>IF('[1]R-2010'!H168&lt;&gt;"","07974082000114","")</f>
        <v>07974082000114</v>
      </c>
      <c r="B168" s="15" t="str">
        <f t="shared" si="8"/>
        <v>07974082000114</v>
      </c>
      <c r="C168" s="15" t="str">
        <f>IFERROR(TEXT(VALUE(SUBSTITUTE(SUBSTITUTE(SUBSTITUTE('[1]R-2010'!H168,".",""),"/",""),"-","")),"00000000000"),"")</f>
        <v>3420933000126</v>
      </c>
      <c r="D168" s="5">
        <f>IFERROR('[1]R-2010'!J168,"")</f>
        <v>45839</v>
      </c>
      <c r="E168" s="15" t="str">
        <f>""</f>
        <v/>
      </c>
      <c r="F168" s="15"/>
      <c r="G168" s="16">
        <f>IFERROR('[1]R-2010'!L168,"")</f>
        <v>2144</v>
      </c>
      <c r="H168" s="17">
        <f t="shared" si="9"/>
        <v>0</v>
      </c>
      <c r="I168" s="17">
        <f t="shared" si="10"/>
        <v>0</v>
      </c>
      <c r="J168" s="17">
        <f t="shared" si="11"/>
        <v>0</v>
      </c>
    </row>
    <row r="169" spans="1:10" ht="13.5" thickBot="1">
      <c r="A169" s="15" t="str">
        <f>IF('[1]R-2010'!H169&lt;&gt;"","07974082000114","")</f>
        <v>07974082000114</v>
      </c>
      <c r="B169" s="15" t="str">
        <f t="shared" si="8"/>
        <v>07974082000114</v>
      </c>
      <c r="C169" s="15" t="str">
        <f>IFERROR(TEXT(VALUE(SUBSTITUTE(SUBSTITUTE(SUBSTITUTE('[1]R-2010'!H169,".",""),"/",""),"-","")),"00000000000"),"")</f>
        <v>3420933000126</v>
      </c>
      <c r="D169" s="5">
        <f>IFERROR('[1]R-2010'!J169,"")</f>
        <v>45839</v>
      </c>
      <c r="E169" s="15" t="str">
        <f>""</f>
        <v/>
      </c>
      <c r="F169" s="15"/>
      <c r="G169" s="16">
        <f>IFERROR('[1]R-2010'!L169,"")</f>
        <v>2144</v>
      </c>
      <c r="H169" s="17">
        <f t="shared" si="9"/>
        <v>0</v>
      </c>
      <c r="I169" s="17">
        <f t="shared" si="10"/>
        <v>0</v>
      </c>
      <c r="J169" s="17">
        <f t="shared" si="11"/>
        <v>0</v>
      </c>
    </row>
    <row r="170" spans="1:10" ht="13.5" thickBot="1">
      <c r="A170" s="15" t="str">
        <f>IF('[1]R-2010'!H170&lt;&gt;"","07974082000114","")</f>
        <v>07974082000114</v>
      </c>
      <c r="B170" s="15" t="str">
        <f t="shared" si="8"/>
        <v>07974082000114</v>
      </c>
      <c r="C170" s="15" t="str">
        <f>IFERROR(TEXT(VALUE(SUBSTITUTE(SUBSTITUTE(SUBSTITUTE('[1]R-2010'!H170,".",""),"/",""),"-","")),"00000000000"),"")</f>
        <v>3420933000126</v>
      </c>
      <c r="D170" s="5">
        <f>IFERROR('[1]R-2010'!J170,"")</f>
        <v>45839</v>
      </c>
      <c r="E170" s="15" t="str">
        <f>""</f>
        <v/>
      </c>
      <c r="F170" s="15"/>
      <c r="G170" s="16">
        <f>IFERROR('[1]R-2010'!L170,"")</f>
        <v>2453.02</v>
      </c>
      <c r="H170" s="17">
        <f t="shared" si="9"/>
        <v>0</v>
      </c>
      <c r="I170" s="17">
        <f t="shared" si="10"/>
        <v>0</v>
      </c>
      <c r="J170" s="17">
        <f t="shared" si="11"/>
        <v>0</v>
      </c>
    </row>
    <row r="171" spans="1:10" ht="13.5" thickBot="1">
      <c r="A171" s="15" t="str">
        <f>IF('[1]R-2010'!H171&lt;&gt;"","07974082000114","")</f>
        <v>07974082000114</v>
      </c>
      <c r="B171" s="15" t="str">
        <f t="shared" si="8"/>
        <v>07974082000114</v>
      </c>
      <c r="C171" s="15" t="str">
        <f>IFERROR(TEXT(VALUE(SUBSTITUTE(SUBSTITUTE(SUBSTITUTE('[1]R-2010'!H171,".",""),"/",""),"-","")),"00000000000"),"")</f>
        <v>3420933000126</v>
      </c>
      <c r="D171" s="5">
        <f>IFERROR('[1]R-2010'!J171,"")</f>
        <v>45839</v>
      </c>
      <c r="E171" s="15" t="str">
        <f>""</f>
        <v/>
      </c>
      <c r="F171" s="15"/>
      <c r="G171" s="16">
        <f>IFERROR('[1]R-2010'!L171,"")</f>
        <v>2977.9</v>
      </c>
      <c r="H171" s="17">
        <f t="shared" si="9"/>
        <v>0</v>
      </c>
      <c r="I171" s="17">
        <f t="shared" si="10"/>
        <v>0</v>
      </c>
      <c r="J171" s="17">
        <f t="shared" si="11"/>
        <v>0</v>
      </c>
    </row>
    <row r="172" spans="1:10" ht="13.5" thickBot="1">
      <c r="A172" s="15" t="str">
        <f>IF('[1]R-2010'!H172&lt;&gt;"","07974082000114","")</f>
        <v>07974082000114</v>
      </c>
      <c r="B172" s="15" t="str">
        <f t="shared" si="8"/>
        <v>07974082000114</v>
      </c>
      <c r="C172" s="15" t="str">
        <f>IFERROR(TEXT(VALUE(SUBSTITUTE(SUBSTITUTE(SUBSTITUTE('[1]R-2010'!H172,".",""),"/",""),"-","")),"00000000000"),"")</f>
        <v>3420933000126</v>
      </c>
      <c r="D172" s="5">
        <f>IFERROR('[1]R-2010'!J172,"")</f>
        <v>45839</v>
      </c>
      <c r="E172" s="15" t="str">
        <f>""</f>
        <v/>
      </c>
      <c r="F172" s="15"/>
      <c r="G172" s="16">
        <f>IFERROR('[1]R-2010'!L172,"")</f>
        <v>2977.9</v>
      </c>
      <c r="H172" s="17">
        <f t="shared" si="9"/>
        <v>0</v>
      </c>
      <c r="I172" s="17">
        <f t="shared" si="10"/>
        <v>0</v>
      </c>
      <c r="J172" s="17">
        <f t="shared" si="11"/>
        <v>0</v>
      </c>
    </row>
    <row r="173" spans="1:10" ht="13.5" thickBot="1">
      <c r="A173" s="15" t="str">
        <f>IF('[1]R-2010'!H173&lt;&gt;"","07974082000114","")</f>
        <v>07974082000114</v>
      </c>
      <c r="B173" s="15" t="str">
        <f t="shared" si="8"/>
        <v>07974082000114</v>
      </c>
      <c r="C173" s="15" t="str">
        <f>IFERROR(TEXT(VALUE(SUBSTITUTE(SUBSTITUTE(SUBSTITUTE('[1]R-2010'!H173,".",""),"/",""),"-","")),"00000000000"),"")</f>
        <v>3420933000126</v>
      </c>
      <c r="D173" s="5">
        <f>IFERROR('[1]R-2010'!J173,"")</f>
        <v>45839</v>
      </c>
      <c r="E173" s="15" t="str">
        <f>""</f>
        <v/>
      </c>
      <c r="F173" s="15"/>
      <c r="G173" s="16">
        <f>IFERROR('[1]R-2010'!L173,"")</f>
        <v>2977.9</v>
      </c>
      <c r="H173" s="17">
        <f t="shared" si="9"/>
        <v>0</v>
      </c>
      <c r="I173" s="17">
        <f t="shared" si="10"/>
        <v>0</v>
      </c>
      <c r="J173" s="17">
        <f t="shared" si="11"/>
        <v>0</v>
      </c>
    </row>
    <row r="174" spans="1:10" ht="13.5" thickBot="1">
      <c r="A174" s="15" t="str">
        <f>IF('[1]R-2010'!H174&lt;&gt;"","07974082000114","")</f>
        <v>07974082000114</v>
      </c>
      <c r="B174" s="15" t="str">
        <f t="shared" si="8"/>
        <v>07974082000114</v>
      </c>
      <c r="C174" s="15" t="str">
        <f>IFERROR(TEXT(VALUE(SUBSTITUTE(SUBSTITUTE(SUBSTITUTE('[1]R-2010'!H174,".",""),"/",""),"-","")),"00000000000"),"")</f>
        <v>3420933000126</v>
      </c>
      <c r="D174" s="5">
        <f>IFERROR('[1]R-2010'!J174,"")</f>
        <v>45839</v>
      </c>
      <c r="E174" s="15" t="str">
        <f>""</f>
        <v/>
      </c>
      <c r="F174" s="15"/>
      <c r="G174" s="16">
        <f>IFERROR('[1]R-2010'!L174,"")</f>
        <v>3919.88</v>
      </c>
      <c r="H174" s="17">
        <f t="shared" si="9"/>
        <v>0</v>
      </c>
      <c r="I174" s="17">
        <f t="shared" si="10"/>
        <v>0</v>
      </c>
      <c r="J174" s="17">
        <f t="shared" si="11"/>
        <v>0</v>
      </c>
    </row>
    <row r="175" spans="1:10" ht="13.5" thickBot="1">
      <c r="A175" s="15" t="str">
        <f>IF('[1]R-2010'!H175&lt;&gt;"","07974082000114","")</f>
        <v>07974082000114</v>
      </c>
      <c r="B175" s="15" t="str">
        <f t="shared" si="8"/>
        <v>07974082000114</v>
      </c>
      <c r="C175" s="15" t="str">
        <f>IFERROR(TEXT(VALUE(SUBSTITUTE(SUBSTITUTE(SUBSTITUTE('[1]R-2010'!H175,".",""),"/",""),"-","")),"00000000000"),"")</f>
        <v>3420933000126</v>
      </c>
      <c r="D175" s="5">
        <f>IFERROR('[1]R-2010'!J175,"")</f>
        <v>45839</v>
      </c>
      <c r="E175" s="15" t="str">
        <f>""</f>
        <v/>
      </c>
      <c r="F175" s="15"/>
      <c r="G175" s="16">
        <f>IFERROR('[1]R-2010'!L175,"")</f>
        <v>3919.88</v>
      </c>
      <c r="H175" s="17">
        <f t="shared" si="9"/>
        <v>0</v>
      </c>
      <c r="I175" s="17">
        <f t="shared" si="10"/>
        <v>0</v>
      </c>
      <c r="J175" s="17">
        <f t="shared" si="11"/>
        <v>0</v>
      </c>
    </row>
    <row r="176" spans="1:10" ht="13.5" thickBot="1">
      <c r="A176" s="15" t="str">
        <f>IF('[1]R-2010'!H176&lt;&gt;"","07974082000114","")</f>
        <v>07974082000114</v>
      </c>
      <c r="B176" s="15" t="str">
        <f t="shared" si="8"/>
        <v>07974082000114</v>
      </c>
      <c r="C176" s="15" t="str">
        <f>IFERROR(TEXT(VALUE(SUBSTITUTE(SUBSTITUTE(SUBSTITUTE('[1]R-2010'!H176,".",""),"/",""),"-","")),"00000000000"),"")</f>
        <v>3420933000126</v>
      </c>
      <c r="D176" s="5">
        <f>IFERROR('[1]R-2010'!J176,"")</f>
        <v>45839</v>
      </c>
      <c r="E176" s="15" t="str">
        <f>""</f>
        <v/>
      </c>
      <c r="F176" s="15"/>
      <c r="G176" s="16">
        <f>IFERROR('[1]R-2010'!L176,"")</f>
        <v>3919.88</v>
      </c>
      <c r="H176" s="17">
        <f t="shared" si="9"/>
        <v>0</v>
      </c>
      <c r="I176" s="17">
        <f t="shared" si="10"/>
        <v>0</v>
      </c>
      <c r="J176" s="17">
        <f t="shared" si="11"/>
        <v>0</v>
      </c>
    </row>
    <row r="177" spans="1:10" ht="13.5" thickBot="1">
      <c r="A177" s="15" t="str">
        <f>IF('[1]R-2010'!H177&lt;&gt;"","07974082000114","")</f>
        <v>07974082000114</v>
      </c>
      <c r="B177" s="15" t="str">
        <f t="shared" si="8"/>
        <v>07974082000114</v>
      </c>
      <c r="C177" s="15" t="str">
        <f>IFERROR(TEXT(VALUE(SUBSTITUTE(SUBSTITUTE(SUBSTITUTE('[1]R-2010'!H177,".",""),"/",""),"-","")),"00000000000"),"")</f>
        <v>3420933000126</v>
      </c>
      <c r="D177" s="5">
        <f>IFERROR('[1]R-2010'!J177,"")</f>
        <v>45839</v>
      </c>
      <c r="E177" s="15" t="str">
        <f>""</f>
        <v/>
      </c>
      <c r="F177" s="15"/>
      <c r="G177" s="16">
        <f>IFERROR('[1]R-2010'!L177,"")</f>
        <v>3919.88</v>
      </c>
      <c r="H177" s="17">
        <f t="shared" si="9"/>
        <v>0</v>
      </c>
      <c r="I177" s="17">
        <f t="shared" si="10"/>
        <v>0</v>
      </c>
      <c r="J177" s="17">
        <f t="shared" si="11"/>
        <v>0</v>
      </c>
    </row>
    <row r="178" spans="1:10" ht="13.5" thickBot="1">
      <c r="A178" s="15" t="str">
        <f>IF('[1]R-2010'!H178&lt;&gt;"","07974082000114","")</f>
        <v>07974082000114</v>
      </c>
      <c r="B178" s="15" t="str">
        <f t="shared" si="8"/>
        <v>07974082000114</v>
      </c>
      <c r="C178" s="15" t="str">
        <f>IFERROR(TEXT(VALUE(SUBSTITUTE(SUBSTITUTE(SUBSTITUTE('[1]R-2010'!H178,".",""),"/",""),"-","")),"00000000000"),"")</f>
        <v>3420933000126</v>
      </c>
      <c r="D178" s="5">
        <f>IFERROR('[1]R-2010'!J178,"")</f>
        <v>45839</v>
      </c>
      <c r="E178" s="15" t="str">
        <f>""</f>
        <v/>
      </c>
      <c r="F178" s="15"/>
      <c r="G178" s="16">
        <f>IFERROR('[1]R-2010'!L178,"")</f>
        <v>5339.73</v>
      </c>
      <c r="H178" s="17">
        <f t="shared" si="9"/>
        <v>0</v>
      </c>
      <c r="I178" s="17">
        <f t="shared" si="10"/>
        <v>0</v>
      </c>
      <c r="J178" s="17">
        <f t="shared" si="11"/>
        <v>0</v>
      </c>
    </row>
    <row r="179" spans="1:10" ht="13.5" thickBot="1">
      <c r="A179" s="15" t="str">
        <f>IF('[1]R-2010'!H179&lt;&gt;"","07974082000114","")</f>
        <v>07974082000114</v>
      </c>
      <c r="B179" s="15" t="str">
        <f t="shared" si="8"/>
        <v>07974082000114</v>
      </c>
      <c r="C179" s="15" t="str">
        <f>IFERROR(TEXT(VALUE(SUBSTITUTE(SUBSTITUTE(SUBSTITUTE('[1]R-2010'!H179,".",""),"/",""),"-","")),"00000000000"),"")</f>
        <v>3420933000126</v>
      </c>
      <c r="D179" s="5">
        <f>IFERROR('[1]R-2010'!J179,"")</f>
        <v>45839</v>
      </c>
      <c r="E179" s="15" t="str">
        <f>""</f>
        <v/>
      </c>
      <c r="F179" s="15"/>
      <c r="G179" s="16">
        <f>IFERROR('[1]R-2010'!L179,"")</f>
        <v>5339.73</v>
      </c>
      <c r="H179" s="17">
        <f t="shared" si="9"/>
        <v>0</v>
      </c>
      <c r="I179" s="17">
        <f t="shared" si="10"/>
        <v>0</v>
      </c>
      <c r="J179" s="17">
        <f t="shared" si="11"/>
        <v>0</v>
      </c>
    </row>
    <row r="180" spans="1:10" ht="13.5" thickBot="1">
      <c r="A180" s="15" t="str">
        <f>IF('[1]R-2010'!H180&lt;&gt;"","07974082000114","")</f>
        <v>07974082000114</v>
      </c>
      <c r="B180" s="15" t="str">
        <f t="shared" si="8"/>
        <v>07974082000114</v>
      </c>
      <c r="C180" s="15" t="str">
        <f>IFERROR(TEXT(VALUE(SUBSTITUTE(SUBSTITUTE(SUBSTITUTE('[1]R-2010'!H180,".",""),"/",""),"-","")),"00000000000"),"")</f>
        <v>3420933000126</v>
      </c>
      <c r="D180" s="5">
        <f>IFERROR('[1]R-2010'!J180,"")</f>
        <v>45839</v>
      </c>
      <c r="E180" s="15" t="str">
        <f>""</f>
        <v/>
      </c>
      <c r="F180" s="15"/>
      <c r="G180" s="16">
        <f>IFERROR('[1]R-2010'!L180,"")</f>
        <v>5339.73</v>
      </c>
      <c r="H180" s="17">
        <f t="shared" si="9"/>
        <v>0</v>
      </c>
      <c r="I180" s="17">
        <f t="shared" si="10"/>
        <v>0</v>
      </c>
      <c r="J180" s="17">
        <f t="shared" si="11"/>
        <v>0</v>
      </c>
    </row>
    <row r="181" spans="1:10" ht="13.5" thickBot="1">
      <c r="A181" s="15" t="str">
        <f>IF('[1]R-2010'!H181&lt;&gt;"","07974082000114","")</f>
        <v>07974082000114</v>
      </c>
      <c r="B181" s="15" t="str">
        <f t="shared" si="8"/>
        <v>07974082000114</v>
      </c>
      <c r="C181" s="15" t="str">
        <f>IFERROR(TEXT(VALUE(SUBSTITUTE(SUBSTITUTE(SUBSTITUTE('[1]R-2010'!H181,".",""),"/",""),"-","")),"00000000000"),"")</f>
        <v>3420933000126</v>
      </c>
      <c r="D181" s="5">
        <f>IFERROR('[1]R-2010'!J181,"")</f>
        <v>45839</v>
      </c>
      <c r="E181" s="15" t="str">
        <f>""</f>
        <v/>
      </c>
      <c r="F181" s="15"/>
      <c r="G181" s="16">
        <f>IFERROR('[1]R-2010'!L181,"")</f>
        <v>5577.08</v>
      </c>
      <c r="H181" s="17">
        <f t="shared" si="9"/>
        <v>0</v>
      </c>
      <c r="I181" s="17">
        <f t="shared" si="10"/>
        <v>0</v>
      </c>
      <c r="J181" s="17">
        <f t="shared" si="11"/>
        <v>0</v>
      </c>
    </row>
    <row r="182" spans="1:10" ht="13.5" thickBot="1">
      <c r="A182" s="15" t="str">
        <f>IF('[1]R-2010'!H182&lt;&gt;"","07974082000114","")</f>
        <v>07974082000114</v>
      </c>
      <c r="B182" s="15" t="str">
        <f t="shared" si="8"/>
        <v>07974082000114</v>
      </c>
      <c r="C182" s="15" t="str">
        <f>IFERROR(TEXT(VALUE(SUBSTITUTE(SUBSTITUTE(SUBSTITUTE('[1]R-2010'!H182,".",""),"/",""),"-","")),"00000000000"),"")</f>
        <v>3420933000126</v>
      </c>
      <c r="D182" s="5">
        <f>IFERROR('[1]R-2010'!J182,"")</f>
        <v>45839</v>
      </c>
      <c r="E182" s="15" t="str">
        <f>""</f>
        <v/>
      </c>
      <c r="F182" s="15"/>
      <c r="G182" s="16">
        <f>IFERROR('[1]R-2010'!L182,"")</f>
        <v>9288.5</v>
      </c>
      <c r="H182" s="17">
        <f t="shared" si="9"/>
        <v>0</v>
      </c>
      <c r="I182" s="17">
        <f t="shared" si="10"/>
        <v>0</v>
      </c>
      <c r="J182" s="17">
        <f t="shared" si="11"/>
        <v>0</v>
      </c>
    </row>
    <row r="183" spans="1:10" ht="13.5" thickBot="1">
      <c r="A183" s="15" t="str">
        <f>IF('[1]R-2010'!H183&lt;&gt;"","07974082000114","")</f>
        <v>07974082000114</v>
      </c>
      <c r="B183" s="15" t="str">
        <f t="shared" si="8"/>
        <v>07974082000114</v>
      </c>
      <c r="C183" s="15" t="str">
        <f>IFERROR(TEXT(VALUE(SUBSTITUTE(SUBSTITUTE(SUBSTITUTE('[1]R-2010'!H183,".",""),"/",""),"-","")),"00000000000"),"")</f>
        <v>3420933000126</v>
      </c>
      <c r="D183" s="5">
        <f>IFERROR('[1]R-2010'!J183,"")</f>
        <v>45839</v>
      </c>
      <c r="E183" s="15" t="str">
        <f>""</f>
        <v/>
      </c>
      <c r="F183" s="15"/>
      <c r="G183" s="16">
        <f>IFERROR('[1]R-2010'!L183,"")</f>
        <v>9348.85</v>
      </c>
      <c r="H183" s="17">
        <f t="shared" si="9"/>
        <v>0</v>
      </c>
      <c r="I183" s="17">
        <f t="shared" si="10"/>
        <v>0</v>
      </c>
      <c r="J183" s="17">
        <f t="shared" si="11"/>
        <v>0</v>
      </c>
    </row>
    <row r="184" spans="1:10" ht="13.5" thickBot="1">
      <c r="A184" s="15" t="str">
        <f>IF('[1]R-2010'!H184&lt;&gt;"","07974082000114","")</f>
        <v>07974082000114</v>
      </c>
      <c r="B184" s="15" t="str">
        <f t="shared" si="8"/>
        <v>07974082000114</v>
      </c>
      <c r="C184" s="15" t="str">
        <f>IFERROR(TEXT(VALUE(SUBSTITUTE(SUBSTITUTE(SUBSTITUTE('[1]R-2010'!H184,".",""),"/",""),"-","")),"00000000000"),"")</f>
        <v>3420933000126</v>
      </c>
      <c r="D184" s="5">
        <f>IFERROR('[1]R-2010'!J184,"")</f>
        <v>45839</v>
      </c>
      <c r="E184" s="15" t="str">
        <f>""</f>
        <v/>
      </c>
      <c r="F184" s="15"/>
      <c r="G184" s="16">
        <f>IFERROR('[1]R-2010'!L184,"")</f>
        <v>11079.58</v>
      </c>
      <c r="H184" s="17">
        <f t="shared" si="9"/>
        <v>0</v>
      </c>
      <c r="I184" s="17">
        <f t="shared" si="10"/>
        <v>0</v>
      </c>
      <c r="J184" s="17">
        <f t="shared" si="11"/>
        <v>0</v>
      </c>
    </row>
    <row r="185" spans="1:10" ht="13.5" thickBot="1">
      <c r="A185" s="15" t="str">
        <f>IF('[1]R-2010'!H185&lt;&gt;"","07974082000114","")</f>
        <v>07974082000114</v>
      </c>
      <c r="B185" s="15" t="str">
        <f t="shared" si="8"/>
        <v>07974082000114</v>
      </c>
      <c r="C185" s="15" t="str">
        <f>IFERROR(TEXT(VALUE(SUBSTITUTE(SUBSTITUTE(SUBSTITUTE('[1]R-2010'!H185,".",""),"/",""),"-","")),"00000000000"),"")</f>
        <v>3420933000126</v>
      </c>
      <c r="D185" s="5">
        <f>IFERROR('[1]R-2010'!J185,"")</f>
        <v>45839</v>
      </c>
      <c r="E185" s="15" t="str">
        <f>""</f>
        <v/>
      </c>
      <c r="F185" s="15"/>
      <c r="G185" s="16">
        <f>IFERROR('[1]R-2010'!L185,"")</f>
        <v>11079.58</v>
      </c>
      <c r="H185" s="17">
        <f t="shared" si="9"/>
        <v>0</v>
      </c>
      <c r="I185" s="17">
        <f t="shared" si="10"/>
        <v>0</v>
      </c>
      <c r="J185" s="17">
        <f t="shared" si="11"/>
        <v>0</v>
      </c>
    </row>
    <row r="186" spans="1:10" ht="13.5" thickBot="1">
      <c r="A186" s="15" t="str">
        <f>IF('[1]R-2010'!H186&lt;&gt;"","07974082000114","")</f>
        <v>07974082000114</v>
      </c>
      <c r="B186" s="15" t="str">
        <f t="shared" si="8"/>
        <v>07974082000114</v>
      </c>
      <c r="C186" s="15" t="str">
        <f>IFERROR(TEXT(VALUE(SUBSTITUTE(SUBSTITUTE(SUBSTITUTE('[1]R-2010'!H186,".",""),"/",""),"-","")),"00000000000"),"")</f>
        <v>3420933000126</v>
      </c>
      <c r="D186" s="5">
        <f>IFERROR('[1]R-2010'!J186,"")</f>
        <v>45839</v>
      </c>
      <c r="E186" s="15" t="str">
        <f>""</f>
        <v/>
      </c>
      <c r="F186" s="15"/>
      <c r="G186" s="16">
        <f>IFERROR('[1]R-2010'!L186,"")</f>
        <v>13192.58</v>
      </c>
      <c r="H186" s="17">
        <f t="shared" si="9"/>
        <v>0</v>
      </c>
      <c r="I186" s="17">
        <f t="shared" si="10"/>
        <v>0</v>
      </c>
      <c r="J186" s="17">
        <f t="shared" si="11"/>
        <v>0</v>
      </c>
    </row>
    <row r="187" spans="1:10" ht="13.5" thickBot="1">
      <c r="A187" s="15" t="str">
        <f>IF('[1]R-2010'!H187&lt;&gt;"","07974082000114","")</f>
        <v>07974082000114</v>
      </c>
      <c r="B187" s="15" t="str">
        <f t="shared" si="8"/>
        <v>07974082000114</v>
      </c>
      <c r="C187" s="15" t="str">
        <f>IFERROR(TEXT(VALUE(SUBSTITUTE(SUBSTITUTE(SUBSTITUTE('[1]R-2010'!H187,".",""),"/",""),"-","")),"00000000000"),"")</f>
        <v>3420933000126</v>
      </c>
      <c r="D187" s="5">
        <f>IFERROR('[1]R-2010'!J187,"")</f>
        <v>45839</v>
      </c>
      <c r="E187" s="15" t="str">
        <f>""</f>
        <v/>
      </c>
      <c r="F187" s="15"/>
      <c r="G187" s="16">
        <f>IFERROR('[1]R-2010'!L187,"")</f>
        <v>13192.58</v>
      </c>
      <c r="H187" s="17">
        <f t="shared" si="9"/>
        <v>0</v>
      </c>
      <c r="I187" s="17">
        <f t="shared" si="10"/>
        <v>0</v>
      </c>
      <c r="J187" s="17">
        <f t="shared" si="11"/>
        <v>0</v>
      </c>
    </row>
    <row r="188" spans="1:10" ht="13.5" thickBot="1">
      <c r="A188" s="15" t="str">
        <f>IF('[1]R-2010'!H188&lt;&gt;"","07974082000114","")</f>
        <v>07974082000114</v>
      </c>
      <c r="B188" s="15" t="str">
        <f t="shared" si="8"/>
        <v>07974082000114</v>
      </c>
      <c r="C188" s="15" t="str">
        <f>IFERROR(TEXT(VALUE(SUBSTITUTE(SUBSTITUTE(SUBSTITUTE('[1]R-2010'!H188,".",""),"/",""),"-","")),"00000000000"),"")</f>
        <v>3420933000126</v>
      </c>
      <c r="D188" s="5">
        <f>IFERROR('[1]R-2010'!J188,"")</f>
        <v>45839</v>
      </c>
      <c r="E188" s="15" t="str">
        <f>""</f>
        <v/>
      </c>
      <c r="F188" s="15"/>
      <c r="G188" s="16">
        <f>IFERROR('[1]R-2010'!L188,"")</f>
        <v>14112.6</v>
      </c>
      <c r="H188" s="17">
        <f t="shared" si="9"/>
        <v>0</v>
      </c>
      <c r="I188" s="17">
        <f t="shared" si="10"/>
        <v>0</v>
      </c>
      <c r="J188" s="17">
        <f t="shared" si="11"/>
        <v>0</v>
      </c>
    </row>
    <row r="189" spans="1:10" ht="13.5" thickBot="1">
      <c r="A189" s="15" t="str">
        <f>IF('[1]R-2010'!H189&lt;&gt;"","07974082000114","")</f>
        <v>07974082000114</v>
      </c>
      <c r="B189" s="15" t="str">
        <f t="shared" si="8"/>
        <v>07974082000114</v>
      </c>
      <c r="C189" s="15" t="str">
        <f>IFERROR(TEXT(VALUE(SUBSTITUTE(SUBSTITUTE(SUBSTITUTE('[1]R-2010'!H189,".",""),"/",""),"-","")),"00000000000"),"")</f>
        <v>3420933000126</v>
      </c>
      <c r="D189" s="5">
        <f>IFERROR('[1]R-2010'!J189,"")</f>
        <v>45839</v>
      </c>
      <c r="E189" s="15" t="str">
        <f>""</f>
        <v/>
      </c>
      <c r="F189" s="15"/>
      <c r="G189" s="16">
        <f>IFERROR('[1]R-2010'!L189,"")</f>
        <v>24896.18</v>
      </c>
      <c r="H189" s="17">
        <f t="shared" si="9"/>
        <v>0</v>
      </c>
      <c r="I189" s="17">
        <f t="shared" si="10"/>
        <v>0</v>
      </c>
      <c r="J189" s="17">
        <f t="shared" si="11"/>
        <v>0</v>
      </c>
    </row>
    <row r="190" spans="1:10" ht="13.5" thickBot="1">
      <c r="A190" s="15" t="str">
        <f>IF('[1]R-2010'!H190&lt;&gt;"","07974082000114","")</f>
        <v>07974082000114</v>
      </c>
      <c r="B190" s="15" t="str">
        <f t="shared" si="8"/>
        <v>07974082000114</v>
      </c>
      <c r="C190" s="15" t="str">
        <f>IFERROR(TEXT(VALUE(SUBSTITUTE(SUBSTITUTE(SUBSTITUTE('[1]R-2010'!H190,".",""),"/",""),"-","")),"00000000000"),"")</f>
        <v>3420933000126</v>
      </c>
      <c r="D190" s="5">
        <f>IFERROR('[1]R-2010'!J190,"")</f>
        <v>45839</v>
      </c>
      <c r="E190" s="15" t="str">
        <f>""</f>
        <v/>
      </c>
      <c r="F190" s="15"/>
      <c r="G190" s="16">
        <f>IFERROR('[1]R-2010'!L190,"")</f>
        <v>24896.18</v>
      </c>
      <c r="H190" s="17">
        <f t="shared" si="9"/>
        <v>0</v>
      </c>
      <c r="I190" s="17">
        <f t="shared" si="10"/>
        <v>0</v>
      </c>
      <c r="J190" s="17">
        <f t="shared" si="11"/>
        <v>0</v>
      </c>
    </row>
    <row r="191" spans="1:10" ht="13.5" thickBot="1">
      <c r="A191" s="15" t="str">
        <f>IF('[1]R-2010'!H191&lt;&gt;"","07974082000114","")</f>
        <v>07974082000114</v>
      </c>
      <c r="B191" s="15" t="str">
        <f t="shared" si="8"/>
        <v>07974082000114</v>
      </c>
      <c r="C191" s="15" t="str">
        <f>IFERROR(TEXT(VALUE(SUBSTITUTE(SUBSTITUTE(SUBSTITUTE('[1]R-2010'!H191,".",""),"/",""),"-","")),"00000000000"),"")</f>
        <v>3420933000126</v>
      </c>
      <c r="D191" s="5">
        <f>IFERROR('[1]R-2010'!J191,"")</f>
        <v>45839</v>
      </c>
      <c r="E191" s="15" t="str">
        <f>""</f>
        <v/>
      </c>
      <c r="F191" s="15"/>
      <c r="G191" s="16">
        <f>IFERROR('[1]R-2010'!L191,"")</f>
        <v>24896.18</v>
      </c>
      <c r="H191" s="17">
        <f t="shared" si="9"/>
        <v>0</v>
      </c>
      <c r="I191" s="17">
        <f t="shared" si="10"/>
        <v>0</v>
      </c>
      <c r="J191" s="17">
        <f t="shared" si="11"/>
        <v>0</v>
      </c>
    </row>
    <row r="192" spans="1:10" ht="13.5" thickBot="1">
      <c r="A192" s="15" t="str">
        <f>IF('[1]R-2010'!H192&lt;&gt;"","07974082000114","")</f>
        <v>07974082000114</v>
      </c>
      <c r="B192" s="15" t="str">
        <f t="shared" si="8"/>
        <v>07974082000114</v>
      </c>
      <c r="C192" s="15" t="str">
        <f>IFERROR(TEXT(VALUE(SUBSTITUTE(SUBSTITUTE(SUBSTITUTE('[1]R-2010'!H192,".",""),"/",""),"-","")),"00000000000"),"")</f>
        <v>3420933000126</v>
      </c>
      <c r="D192" s="5">
        <f>IFERROR('[1]R-2010'!J192,"")</f>
        <v>45839</v>
      </c>
      <c r="E192" s="15" t="str">
        <f>""</f>
        <v/>
      </c>
      <c r="F192" s="15"/>
      <c r="G192" s="16">
        <f>IFERROR('[1]R-2010'!L192,"")</f>
        <v>26324.55</v>
      </c>
      <c r="H192" s="17">
        <f t="shared" si="9"/>
        <v>0</v>
      </c>
      <c r="I192" s="17">
        <f t="shared" si="10"/>
        <v>0</v>
      </c>
      <c r="J192" s="17">
        <f t="shared" si="11"/>
        <v>0</v>
      </c>
    </row>
    <row r="193" spans="1:10" ht="13.5" thickBot="1">
      <c r="A193" s="15" t="str">
        <f>IF('[1]R-2010'!H193&lt;&gt;"","07974082000114","")</f>
        <v>07974082000114</v>
      </c>
      <c r="B193" s="15" t="str">
        <f t="shared" si="8"/>
        <v>07974082000114</v>
      </c>
      <c r="C193" s="15" t="str">
        <f>IFERROR(TEXT(VALUE(SUBSTITUTE(SUBSTITUTE(SUBSTITUTE('[1]R-2010'!H193,".",""),"/",""),"-","")),"00000000000"),"")</f>
        <v>16383848000187</v>
      </c>
      <c r="D193" s="5">
        <f>IFERROR('[1]R-2010'!J193,"")</f>
        <v>45839</v>
      </c>
      <c r="E193" s="15" t="str">
        <f>""</f>
        <v/>
      </c>
      <c r="F193" s="15"/>
      <c r="G193" s="16">
        <f>IFERROR('[1]R-2010'!L193,"")</f>
        <v>39987.18</v>
      </c>
      <c r="H193" s="17">
        <f t="shared" si="9"/>
        <v>0</v>
      </c>
      <c r="I193" s="17">
        <f t="shared" si="10"/>
        <v>0</v>
      </c>
      <c r="J193" s="17">
        <f t="shared" si="11"/>
        <v>0</v>
      </c>
    </row>
    <row r="194" spans="1:10" ht="13.5" thickBot="1">
      <c r="A194" s="15" t="str">
        <f>IF('[1]R-2010'!H194&lt;&gt;"","07974082000114","")</f>
        <v>07974082000114</v>
      </c>
      <c r="B194" s="15" t="str">
        <f t="shared" si="8"/>
        <v>07974082000114</v>
      </c>
      <c r="C194" s="15" t="str">
        <f>IFERROR(TEXT(VALUE(SUBSTITUTE(SUBSTITUTE(SUBSTITUTE('[1]R-2010'!H194,".",""),"/",""),"-","")),"00000000000"),"")</f>
        <v>15676890000123</v>
      </c>
      <c r="D194" s="5">
        <f>IFERROR('[1]R-2010'!J194,"")</f>
        <v>45839</v>
      </c>
      <c r="E194" s="15" t="str">
        <f>""</f>
        <v/>
      </c>
      <c r="F194" s="15"/>
      <c r="G194" s="16">
        <f>IFERROR('[1]R-2010'!L194,"")</f>
        <v>92738.55</v>
      </c>
      <c r="H194" s="17">
        <f t="shared" si="9"/>
        <v>0</v>
      </c>
      <c r="I194" s="17">
        <f t="shared" si="10"/>
        <v>0</v>
      </c>
      <c r="J194" s="17">
        <f t="shared" si="11"/>
        <v>0</v>
      </c>
    </row>
    <row r="195" spans="1:10" ht="13.5" thickBot="1">
      <c r="A195" s="15" t="str">
        <f>IF('[1]R-2010'!H195&lt;&gt;"","07974082000114","")</f>
        <v>07974082000114</v>
      </c>
      <c r="B195" s="15" t="str">
        <f t="shared" ref="B195:B258" si="12">IF(A195&lt;&gt;"",A195,"")</f>
        <v>07974082000114</v>
      </c>
      <c r="C195" s="15" t="str">
        <f>IFERROR(TEXT(VALUE(SUBSTITUTE(SUBSTITUTE(SUBSTITUTE('[1]R-2010'!H195,".",""),"/",""),"-","")),"00000000000"),"")</f>
        <v>22594152000100</v>
      </c>
      <c r="D195" s="5">
        <f>IFERROR('[1]R-2010'!J195,"")</f>
        <v>45839</v>
      </c>
      <c r="E195" s="15" t="str">
        <f>""</f>
        <v/>
      </c>
      <c r="F195" s="15"/>
      <c r="G195" s="16">
        <f>IFERROR('[1]R-2010'!L195,"")</f>
        <v>50000</v>
      </c>
      <c r="H195" s="17">
        <f t="shared" ref="H195:H258" si="13">IF(C195&lt;&gt;"",0,"")</f>
        <v>0</v>
      </c>
      <c r="I195" s="17">
        <f t="shared" ref="I195:I258" si="14">IF(C195&lt;&gt;"",0,"")</f>
        <v>0</v>
      </c>
      <c r="J195" s="17">
        <f t="shared" ref="J195:J258" si="15">IF(C195&lt;&gt;"",0,"")</f>
        <v>0</v>
      </c>
    </row>
    <row r="196" spans="1:10" ht="13.5" thickBot="1">
      <c r="A196" s="15" t="str">
        <f>IF('[1]R-2010'!H196&lt;&gt;"","07974082000114","")</f>
        <v>07974082000114</v>
      </c>
      <c r="B196" s="15" t="str">
        <f t="shared" si="12"/>
        <v>07974082000114</v>
      </c>
      <c r="C196" s="15" t="str">
        <f>IFERROR(TEXT(VALUE(SUBSTITUTE(SUBSTITUTE(SUBSTITUTE('[1]R-2010'!H196,".",""),"/",""),"-","")),"00000000000"),"")</f>
        <v>41332445000156</v>
      </c>
      <c r="D196" s="5">
        <f>IFERROR('[1]R-2010'!J196,"")</f>
        <v>45839</v>
      </c>
      <c r="E196" s="15" t="str">
        <f>""</f>
        <v/>
      </c>
      <c r="F196" s="15"/>
      <c r="G196" s="16">
        <f>IFERROR('[1]R-2010'!L196,"")</f>
        <v>71000</v>
      </c>
      <c r="H196" s="17">
        <f t="shared" si="13"/>
        <v>0</v>
      </c>
      <c r="I196" s="17">
        <f t="shared" si="14"/>
        <v>0</v>
      </c>
      <c r="J196" s="17">
        <f t="shared" si="15"/>
        <v>0</v>
      </c>
    </row>
    <row r="197" spans="1:10" ht="13.5" thickBot="1">
      <c r="A197" s="15" t="str">
        <f>IF('[1]R-2010'!H197&lt;&gt;"","07974082000114","")</f>
        <v>07974082000114</v>
      </c>
      <c r="B197" s="15" t="str">
        <f t="shared" si="12"/>
        <v>07974082000114</v>
      </c>
      <c r="C197" s="15" t="str">
        <f>IFERROR(TEXT(VALUE(SUBSTITUTE(SUBSTITUTE(SUBSTITUTE('[1]R-2010'!H197,".",""),"/",""),"-","")),"00000000000"),"")</f>
        <v>3420933000126</v>
      </c>
      <c r="D197" s="5">
        <f>IFERROR('[1]R-2010'!J197,"")</f>
        <v>45839</v>
      </c>
      <c r="E197" s="15" t="str">
        <f>""</f>
        <v/>
      </c>
      <c r="F197" s="15"/>
      <c r="G197" s="16">
        <f>IFERROR('[1]R-2010'!L197,"")</f>
        <v>2296.92</v>
      </c>
      <c r="H197" s="17">
        <f t="shared" si="13"/>
        <v>0</v>
      </c>
      <c r="I197" s="17">
        <f t="shared" si="14"/>
        <v>0</v>
      </c>
      <c r="J197" s="17">
        <f t="shared" si="15"/>
        <v>0</v>
      </c>
    </row>
    <row r="198" spans="1:10" ht="13.5" thickBot="1">
      <c r="A198" s="15" t="str">
        <f>IF('[1]R-2010'!H198&lt;&gt;"","07974082000114","")</f>
        <v>07974082000114</v>
      </c>
      <c r="B198" s="15" t="str">
        <f t="shared" si="12"/>
        <v>07974082000114</v>
      </c>
      <c r="C198" s="15" t="str">
        <f>IFERROR(TEXT(VALUE(SUBSTITUTE(SUBSTITUTE(SUBSTITUTE('[1]R-2010'!H198,".",""),"/",""),"-","")),"00000000000"),"")</f>
        <v>24525971000113</v>
      </c>
      <c r="D198" s="5">
        <f>IFERROR('[1]R-2010'!J198,"")</f>
        <v>45839</v>
      </c>
      <c r="E198" s="15" t="str">
        <f>""</f>
        <v/>
      </c>
      <c r="F198" s="15"/>
      <c r="G198" s="16">
        <f>IFERROR('[1]R-2010'!L198,"")</f>
        <v>8712.52</v>
      </c>
      <c r="H198" s="17">
        <f t="shared" si="13"/>
        <v>0</v>
      </c>
      <c r="I198" s="17">
        <f t="shared" si="14"/>
        <v>0</v>
      </c>
      <c r="J198" s="17">
        <f t="shared" si="15"/>
        <v>0</v>
      </c>
    </row>
    <row r="199" spans="1:10" ht="13.5" thickBot="1">
      <c r="A199" s="15" t="str">
        <f>IF('[1]R-2010'!H199&lt;&gt;"","07974082000114","")</f>
        <v>07974082000114</v>
      </c>
      <c r="B199" s="15" t="str">
        <f t="shared" si="12"/>
        <v>07974082000114</v>
      </c>
      <c r="C199" s="15" t="str">
        <f>IFERROR(TEXT(VALUE(SUBSTITUTE(SUBSTITUTE(SUBSTITUTE('[1]R-2010'!H199,".",""),"/",""),"-","")),"00000000000"),"")</f>
        <v>24525971000113</v>
      </c>
      <c r="D199" s="5">
        <f>IFERROR('[1]R-2010'!J199,"")</f>
        <v>45839</v>
      </c>
      <c r="E199" s="15" t="str">
        <f>""</f>
        <v/>
      </c>
      <c r="F199" s="15"/>
      <c r="G199" s="16">
        <f>IFERROR('[1]R-2010'!L199,"")</f>
        <v>34850.089999999997</v>
      </c>
      <c r="H199" s="17">
        <f t="shared" si="13"/>
        <v>0</v>
      </c>
      <c r="I199" s="17">
        <f t="shared" si="14"/>
        <v>0</v>
      </c>
      <c r="J199" s="17">
        <f t="shared" si="15"/>
        <v>0</v>
      </c>
    </row>
    <row r="200" spans="1:10" ht="13.5" thickBot="1">
      <c r="A200" s="15" t="str">
        <f>IF('[1]R-2010'!H200&lt;&gt;"","07974082000114","")</f>
        <v>07974082000114</v>
      </c>
      <c r="B200" s="15" t="str">
        <f t="shared" si="12"/>
        <v>07974082000114</v>
      </c>
      <c r="C200" s="15" t="str">
        <f>IFERROR(TEXT(VALUE(SUBSTITUTE(SUBSTITUTE(SUBSTITUTE('[1]R-2010'!H200,".",""),"/",""),"-","")),"00000000000"),"")</f>
        <v>24525971000113</v>
      </c>
      <c r="D200" s="5">
        <f>IFERROR('[1]R-2010'!J200,"")</f>
        <v>45839</v>
      </c>
      <c r="E200" s="15" t="str">
        <f>""</f>
        <v/>
      </c>
      <c r="F200" s="15"/>
      <c r="G200" s="16">
        <f>IFERROR('[1]R-2010'!L200,"")</f>
        <v>43562.61</v>
      </c>
      <c r="H200" s="17">
        <f t="shared" si="13"/>
        <v>0</v>
      </c>
      <c r="I200" s="17">
        <f t="shared" si="14"/>
        <v>0</v>
      </c>
      <c r="J200" s="17">
        <f t="shared" si="15"/>
        <v>0</v>
      </c>
    </row>
    <row r="201" spans="1:10" ht="13.5" thickBot="1">
      <c r="A201" s="15" t="str">
        <f>IF('[1]R-2010'!H201&lt;&gt;"","07974082000114","")</f>
        <v>07974082000114</v>
      </c>
      <c r="B201" s="15" t="str">
        <f t="shared" si="12"/>
        <v>07974082000114</v>
      </c>
      <c r="C201" s="15" t="str">
        <f>IFERROR(TEXT(VALUE(SUBSTITUTE(SUBSTITUTE(SUBSTITUTE('[1]R-2010'!H201,".",""),"/",""),"-","")),"00000000000"),"")</f>
        <v>30994850000113</v>
      </c>
      <c r="D201" s="5">
        <f>IFERROR('[1]R-2010'!J201,"")</f>
        <v>45839</v>
      </c>
      <c r="E201" s="15" t="str">
        <f>""</f>
        <v/>
      </c>
      <c r="F201" s="15"/>
      <c r="G201" s="16">
        <f>IFERROR('[1]R-2010'!L201,"")</f>
        <v>334000</v>
      </c>
      <c r="H201" s="17">
        <f t="shared" si="13"/>
        <v>0</v>
      </c>
      <c r="I201" s="17">
        <f t="shared" si="14"/>
        <v>0</v>
      </c>
      <c r="J201" s="17">
        <f t="shared" si="15"/>
        <v>0</v>
      </c>
    </row>
    <row r="202" spans="1:10" ht="13.5" thickBot="1">
      <c r="A202" s="15" t="str">
        <f>IF('[1]R-2010'!H202&lt;&gt;"","07974082000114","")</f>
        <v>07974082000114</v>
      </c>
      <c r="B202" s="15" t="str">
        <f t="shared" si="12"/>
        <v>07974082000114</v>
      </c>
      <c r="C202" s="15" t="str">
        <f>IFERROR(TEXT(VALUE(SUBSTITUTE(SUBSTITUTE(SUBSTITUTE('[1]R-2010'!H202,".",""),"/",""),"-","")),"00000000000"),"")</f>
        <v>30994850000113</v>
      </c>
      <c r="D202" s="5">
        <f>IFERROR('[1]R-2010'!J202,"")</f>
        <v>45839</v>
      </c>
      <c r="E202" s="15" t="str">
        <f>""</f>
        <v/>
      </c>
      <c r="F202" s="15"/>
      <c r="G202" s="16">
        <f>IFERROR('[1]R-2010'!L202,"")</f>
        <v>300255.46000000002</v>
      </c>
      <c r="H202" s="17">
        <f t="shared" si="13"/>
        <v>0</v>
      </c>
      <c r="I202" s="17">
        <f t="shared" si="14"/>
        <v>0</v>
      </c>
      <c r="J202" s="17">
        <f t="shared" si="15"/>
        <v>0</v>
      </c>
    </row>
    <row r="203" spans="1:10" ht="13.5" thickBot="1">
      <c r="A203" s="15" t="str">
        <f>IF('[1]R-2010'!H203&lt;&gt;"","07974082000114","")</f>
        <v>07974082000114</v>
      </c>
      <c r="B203" s="15" t="str">
        <f t="shared" si="12"/>
        <v>07974082000114</v>
      </c>
      <c r="C203" s="15" t="str">
        <f>IFERROR(TEXT(VALUE(SUBSTITUTE(SUBSTITUTE(SUBSTITUTE('[1]R-2010'!H203,".",""),"/",""),"-","")),"00000000000"),"")</f>
        <v>16383848000187</v>
      </c>
      <c r="D203" s="5">
        <f>IFERROR('[1]R-2010'!J203,"")</f>
        <v>45839</v>
      </c>
      <c r="E203" s="15" t="str">
        <f>""</f>
        <v/>
      </c>
      <c r="F203" s="15"/>
      <c r="G203" s="16">
        <f>IFERROR('[1]R-2010'!L203,"")</f>
        <v>39987.18</v>
      </c>
      <c r="H203" s="17">
        <f t="shared" si="13"/>
        <v>0</v>
      </c>
      <c r="I203" s="17">
        <f t="shared" si="14"/>
        <v>0</v>
      </c>
      <c r="J203" s="17">
        <f t="shared" si="15"/>
        <v>0</v>
      </c>
    </row>
    <row r="204" spans="1:10" ht="13.5" thickBot="1">
      <c r="A204" s="15" t="str">
        <f>IF('[1]R-2010'!H204&lt;&gt;"","07974082000114","")</f>
        <v>07974082000114</v>
      </c>
      <c r="B204" s="15" t="str">
        <f t="shared" si="12"/>
        <v>07974082000114</v>
      </c>
      <c r="C204" s="15" t="str">
        <f>IFERROR(TEXT(VALUE(SUBSTITUTE(SUBSTITUTE(SUBSTITUTE('[1]R-2010'!H204,".",""),"/",""),"-","")),"00000000000"),"")</f>
        <v>9170079000173</v>
      </c>
      <c r="D204" s="5">
        <f>IFERROR('[1]R-2010'!J204,"")</f>
        <v>45839</v>
      </c>
      <c r="E204" s="15" t="str">
        <f>""</f>
        <v/>
      </c>
      <c r="F204" s="15"/>
      <c r="G204" s="16">
        <f>IFERROR('[1]R-2010'!L204,"")</f>
        <v>22276.400000000001</v>
      </c>
      <c r="H204" s="17">
        <f t="shared" si="13"/>
        <v>0</v>
      </c>
      <c r="I204" s="17">
        <f t="shared" si="14"/>
        <v>0</v>
      </c>
      <c r="J204" s="17">
        <f t="shared" si="15"/>
        <v>0</v>
      </c>
    </row>
    <row r="205" spans="1:10" ht="13.5" thickBot="1">
      <c r="A205" s="15" t="str">
        <f>IF('[1]R-2010'!H205&lt;&gt;"","07974082000114","")</f>
        <v>07974082000114</v>
      </c>
      <c r="B205" s="15" t="str">
        <f t="shared" si="12"/>
        <v>07974082000114</v>
      </c>
      <c r="C205" s="15" t="str">
        <f>IFERROR(TEXT(VALUE(SUBSTITUTE(SUBSTITUTE(SUBSTITUTE('[1]R-2010'!H205,".",""),"/",""),"-","")),"00000000000"),"")</f>
        <v>22594152000100</v>
      </c>
      <c r="D205" s="5">
        <f>IFERROR('[1]R-2010'!J205,"")</f>
        <v>45870</v>
      </c>
      <c r="E205" s="15" t="str">
        <f>""</f>
        <v/>
      </c>
      <c r="F205" s="15"/>
      <c r="G205" s="16">
        <f>IFERROR('[1]R-2010'!L205,"")</f>
        <v>61358.05</v>
      </c>
      <c r="H205" s="17">
        <f t="shared" si="13"/>
        <v>0</v>
      </c>
      <c r="I205" s="17">
        <f t="shared" si="14"/>
        <v>0</v>
      </c>
      <c r="J205" s="17">
        <f t="shared" si="15"/>
        <v>0</v>
      </c>
    </row>
    <row r="206" spans="1:10" ht="13.5" thickBot="1">
      <c r="A206" s="15" t="str">
        <f>IF('[1]R-2010'!H206&lt;&gt;"","07974082000114","")</f>
        <v>07974082000114</v>
      </c>
      <c r="B206" s="15" t="str">
        <f t="shared" si="12"/>
        <v>07974082000114</v>
      </c>
      <c r="C206" s="15" t="str">
        <f>IFERROR(TEXT(VALUE(SUBSTITUTE(SUBSTITUTE(SUBSTITUTE('[1]R-2010'!H206,".",""),"/",""),"-","")),"00000000000"),"")</f>
        <v>22594152000100</v>
      </c>
      <c r="D206" s="5">
        <f>IFERROR('[1]R-2010'!J206,"")</f>
        <v>45870</v>
      </c>
      <c r="E206" s="15" t="str">
        <f>""</f>
        <v/>
      </c>
      <c r="F206" s="15"/>
      <c r="G206" s="16">
        <f>IFERROR('[1]R-2010'!L206,"")</f>
        <v>36084.5</v>
      </c>
      <c r="H206" s="17">
        <f t="shared" si="13"/>
        <v>0</v>
      </c>
      <c r="I206" s="17">
        <f t="shared" si="14"/>
        <v>0</v>
      </c>
      <c r="J206" s="17">
        <f t="shared" si="15"/>
        <v>0</v>
      </c>
    </row>
    <row r="207" spans="1:10" ht="13.5" thickBot="1">
      <c r="A207" s="15" t="str">
        <f>IF('[1]R-2010'!H207&lt;&gt;"","07974082000114","")</f>
        <v>07974082000114</v>
      </c>
      <c r="B207" s="15" t="str">
        <f t="shared" si="12"/>
        <v>07974082000114</v>
      </c>
      <c r="C207" s="15" t="str">
        <f>IFERROR(TEXT(VALUE(SUBSTITUTE(SUBSTITUTE(SUBSTITUTE('[1]R-2010'!H207,".",""),"/",""),"-","")),"00000000000"),"")</f>
        <v>3420933000126</v>
      </c>
      <c r="D207" s="5">
        <f>IFERROR('[1]R-2010'!J207,"")</f>
        <v>45870</v>
      </c>
      <c r="E207" s="15" t="str">
        <f>""</f>
        <v/>
      </c>
      <c r="F207" s="15"/>
      <c r="G207" s="16">
        <f>IFERROR('[1]R-2010'!L207,"")</f>
        <v>237.35</v>
      </c>
      <c r="H207" s="17">
        <f t="shared" si="13"/>
        <v>0</v>
      </c>
      <c r="I207" s="17">
        <f t="shared" si="14"/>
        <v>0</v>
      </c>
      <c r="J207" s="17">
        <f t="shared" si="15"/>
        <v>0</v>
      </c>
    </row>
    <row r="208" spans="1:10" ht="13.5" thickBot="1">
      <c r="A208" s="15" t="str">
        <f>IF('[1]R-2010'!H208&lt;&gt;"","07974082000114","")</f>
        <v>07974082000114</v>
      </c>
      <c r="B208" s="15" t="str">
        <f t="shared" si="12"/>
        <v>07974082000114</v>
      </c>
      <c r="C208" s="15" t="str">
        <f>IFERROR(TEXT(VALUE(SUBSTITUTE(SUBSTITUTE(SUBSTITUTE('[1]R-2010'!H208,".",""),"/",""),"-","")),"00000000000"),"")</f>
        <v>3420933000126</v>
      </c>
      <c r="D208" s="5">
        <f>IFERROR('[1]R-2010'!J208,"")</f>
        <v>45870</v>
      </c>
      <c r="E208" s="15" t="str">
        <f>""</f>
        <v/>
      </c>
      <c r="F208" s="15"/>
      <c r="G208" s="16">
        <f>IFERROR('[1]R-2010'!L208,"")</f>
        <v>474.23</v>
      </c>
      <c r="H208" s="17">
        <f t="shared" si="13"/>
        <v>0</v>
      </c>
      <c r="I208" s="17">
        <f t="shared" si="14"/>
        <v>0</v>
      </c>
      <c r="J208" s="17">
        <f t="shared" si="15"/>
        <v>0</v>
      </c>
    </row>
    <row r="209" spans="1:10" ht="13.5" thickBot="1">
      <c r="A209" s="15" t="str">
        <f>IF('[1]R-2010'!H209&lt;&gt;"","07974082000114","")</f>
        <v>07974082000114</v>
      </c>
      <c r="B209" s="15" t="str">
        <f t="shared" si="12"/>
        <v>07974082000114</v>
      </c>
      <c r="C209" s="15" t="str">
        <f>IFERROR(TEXT(VALUE(SUBSTITUTE(SUBSTITUTE(SUBSTITUTE('[1]R-2010'!H209,".",""),"/",""),"-","")),"00000000000"),"")</f>
        <v>3420933000126</v>
      </c>
      <c r="D209" s="5">
        <f>IFERROR('[1]R-2010'!J209,"")</f>
        <v>45870</v>
      </c>
      <c r="E209" s="15" t="str">
        <f>""</f>
        <v/>
      </c>
      <c r="F209" s="15"/>
      <c r="G209" s="16">
        <f>IFERROR('[1]R-2010'!L209,"")</f>
        <v>474.23</v>
      </c>
      <c r="H209" s="17">
        <f t="shared" si="13"/>
        <v>0</v>
      </c>
      <c r="I209" s="17">
        <f t="shared" si="14"/>
        <v>0</v>
      </c>
      <c r="J209" s="17">
        <f t="shared" si="15"/>
        <v>0</v>
      </c>
    </row>
    <row r="210" spans="1:10" ht="13.5" thickBot="1">
      <c r="A210" s="15" t="str">
        <f>IF('[1]R-2010'!H210&lt;&gt;"","07974082000114","")</f>
        <v>07974082000114</v>
      </c>
      <c r="B210" s="15" t="str">
        <f t="shared" si="12"/>
        <v>07974082000114</v>
      </c>
      <c r="C210" s="15" t="str">
        <f>IFERROR(TEXT(VALUE(SUBSTITUTE(SUBSTITUTE(SUBSTITUTE('[1]R-2010'!H210,".",""),"/",""),"-","")),"00000000000"),"")</f>
        <v>3420933000126</v>
      </c>
      <c r="D210" s="5">
        <f>IFERROR('[1]R-2010'!J210,"")</f>
        <v>45870</v>
      </c>
      <c r="E210" s="15" t="str">
        <f>""</f>
        <v/>
      </c>
      <c r="F210" s="15"/>
      <c r="G210" s="16">
        <f>IFERROR('[1]R-2010'!L210,"")</f>
        <v>474.7</v>
      </c>
      <c r="H210" s="17">
        <f t="shared" si="13"/>
        <v>0</v>
      </c>
      <c r="I210" s="17">
        <f t="shared" si="14"/>
        <v>0</v>
      </c>
      <c r="J210" s="17">
        <f t="shared" si="15"/>
        <v>0</v>
      </c>
    </row>
    <row r="211" spans="1:10" ht="13.5" thickBot="1">
      <c r="A211" s="15" t="str">
        <f>IF('[1]R-2010'!H211&lt;&gt;"","07974082000114","")</f>
        <v>07974082000114</v>
      </c>
      <c r="B211" s="15" t="str">
        <f t="shared" si="12"/>
        <v>07974082000114</v>
      </c>
      <c r="C211" s="15" t="str">
        <f>IFERROR(TEXT(VALUE(SUBSTITUTE(SUBSTITUTE(SUBSTITUTE('[1]R-2010'!H211,".",""),"/",""),"-","")),"00000000000"),"")</f>
        <v>3420933000126</v>
      </c>
      <c r="D211" s="5">
        <f>IFERROR('[1]R-2010'!J211,"")</f>
        <v>45870</v>
      </c>
      <c r="E211" s="15" t="str">
        <f>""</f>
        <v/>
      </c>
      <c r="F211" s="15"/>
      <c r="G211" s="16">
        <f>IFERROR('[1]R-2010'!L211,"")</f>
        <v>793.72</v>
      </c>
      <c r="H211" s="17">
        <f t="shared" si="13"/>
        <v>0</v>
      </c>
      <c r="I211" s="17">
        <f t="shared" si="14"/>
        <v>0</v>
      </c>
      <c r="J211" s="17">
        <f t="shared" si="15"/>
        <v>0</v>
      </c>
    </row>
    <row r="212" spans="1:10" ht="13.5" thickBot="1">
      <c r="A212" s="15" t="str">
        <f>IF('[1]R-2010'!H212&lt;&gt;"","07974082000114","")</f>
        <v>07974082000114</v>
      </c>
      <c r="B212" s="15" t="str">
        <f t="shared" si="12"/>
        <v>07974082000114</v>
      </c>
      <c r="C212" s="15" t="str">
        <f>IFERROR(TEXT(VALUE(SUBSTITUTE(SUBSTITUTE(SUBSTITUTE('[1]R-2010'!H212,".",""),"/",""),"-","")),"00000000000"),"")</f>
        <v>3420933000126</v>
      </c>
      <c r="D212" s="5">
        <f>IFERROR('[1]R-2010'!J212,"")</f>
        <v>45870</v>
      </c>
      <c r="E212" s="15" t="str">
        <f>""</f>
        <v/>
      </c>
      <c r="F212" s="15"/>
      <c r="G212" s="16">
        <f>IFERROR('[1]R-2010'!L212,"")</f>
        <v>793.72</v>
      </c>
      <c r="H212" s="17">
        <f t="shared" si="13"/>
        <v>0</v>
      </c>
      <c r="I212" s="17">
        <f t="shared" si="14"/>
        <v>0</v>
      </c>
      <c r="J212" s="17">
        <f t="shared" si="15"/>
        <v>0</v>
      </c>
    </row>
    <row r="213" spans="1:10" ht="13.5" thickBot="1">
      <c r="A213" s="15" t="str">
        <f>IF('[1]R-2010'!H213&lt;&gt;"","07974082000114","")</f>
        <v>07974082000114</v>
      </c>
      <c r="B213" s="15" t="str">
        <f t="shared" si="12"/>
        <v>07974082000114</v>
      </c>
      <c r="C213" s="15" t="str">
        <f>IFERROR(TEXT(VALUE(SUBSTITUTE(SUBSTITUTE(SUBSTITUTE('[1]R-2010'!H213,".",""),"/",""),"-","")),"00000000000"),"")</f>
        <v>3420933000126</v>
      </c>
      <c r="D213" s="5">
        <f>IFERROR('[1]R-2010'!J213,"")</f>
        <v>45870</v>
      </c>
      <c r="E213" s="15" t="str">
        <f>""</f>
        <v/>
      </c>
      <c r="F213" s="15"/>
      <c r="G213" s="16">
        <f>IFERROR('[1]R-2010'!L213,"")</f>
        <v>793.72</v>
      </c>
      <c r="H213" s="17">
        <f t="shared" si="13"/>
        <v>0</v>
      </c>
      <c r="I213" s="17">
        <f t="shared" si="14"/>
        <v>0</v>
      </c>
      <c r="J213" s="17">
        <f t="shared" si="15"/>
        <v>0</v>
      </c>
    </row>
    <row r="214" spans="1:10" ht="13.5" thickBot="1">
      <c r="A214" s="15" t="str">
        <f>IF('[1]R-2010'!H214&lt;&gt;"","07974082000114","")</f>
        <v>07974082000114</v>
      </c>
      <c r="B214" s="15" t="str">
        <f t="shared" si="12"/>
        <v>07974082000114</v>
      </c>
      <c r="C214" s="15" t="str">
        <f>IFERROR(TEXT(VALUE(SUBSTITUTE(SUBSTITUTE(SUBSTITUTE('[1]R-2010'!H214,".",""),"/",""),"-","")),"00000000000"),"")</f>
        <v>3420933000126</v>
      </c>
      <c r="D214" s="5">
        <f>IFERROR('[1]R-2010'!J214,"")</f>
        <v>45870</v>
      </c>
      <c r="E214" s="15" t="str">
        <f>""</f>
        <v/>
      </c>
      <c r="F214" s="15"/>
      <c r="G214" s="16">
        <f>IFERROR('[1]R-2010'!L214,"")</f>
        <v>793.72</v>
      </c>
      <c r="H214" s="17">
        <f t="shared" si="13"/>
        <v>0</v>
      </c>
      <c r="I214" s="17">
        <f t="shared" si="14"/>
        <v>0</v>
      </c>
      <c r="J214" s="17">
        <f t="shared" si="15"/>
        <v>0</v>
      </c>
    </row>
    <row r="215" spans="1:10" ht="13.5" thickBot="1">
      <c r="A215" s="15" t="str">
        <f>IF('[1]R-2010'!H215&lt;&gt;"","07974082000114","")</f>
        <v>07974082000114</v>
      </c>
      <c r="B215" s="15" t="str">
        <f t="shared" si="12"/>
        <v>07974082000114</v>
      </c>
      <c r="C215" s="15" t="str">
        <f>IFERROR(TEXT(VALUE(SUBSTITUTE(SUBSTITUTE(SUBSTITUTE('[1]R-2010'!H215,".",""),"/",""),"-","")),"00000000000"),"")</f>
        <v>3420933000126</v>
      </c>
      <c r="D215" s="5">
        <f>IFERROR('[1]R-2010'!J215,"")</f>
        <v>45870</v>
      </c>
      <c r="E215" s="15" t="str">
        <f>""</f>
        <v/>
      </c>
      <c r="F215" s="15"/>
      <c r="G215" s="16">
        <f>IFERROR('[1]R-2010'!L215,"")</f>
        <v>1423.63</v>
      </c>
      <c r="H215" s="17">
        <f t="shared" si="13"/>
        <v>0</v>
      </c>
      <c r="I215" s="17">
        <f t="shared" si="14"/>
        <v>0</v>
      </c>
      <c r="J215" s="17">
        <f t="shared" si="15"/>
        <v>0</v>
      </c>
    </row>
    <row r="216" spans="1:10" ht="13.5" thickBot="1">
      <c r="A216" s="15" t="str">
        <f>IF('[1]R-2010'!H216&lt;&gt;"","07974082000114","")</f>
        <v>07974082000114</v>
      </c>
      <c r="B216" s="15" t="str">
        <f t="shared" si="12"/>
        <v>07974082000114</v>
      </c>
      <c r="C216" s="15" t="str">
        <f>IFERROR(TEXT(VALUE(SUBSTITUTE(SUBSTITUTE(SUBSTITUTE('[1]R-2010'!H216,".",""),"/",""),"-","")),"00000000000"),"")</f>
        <v>3420933000126</v>
      </c>
      <c r="D216" s="5">
        <f>IFERROR('[1]R-2010'!J216,"")</f>
        <v>45870</v>
      </c>
      <c r="E216" s="15" t="str">
        <f>""</f>
        <v/>
      </c>
      <c r="F216" s="15"/>
      <c r="G216" s="16">
        <f>IFERROR('[1]R-2010'!L216,"")</f>
        <v>1423.63</v>
      </c>
      <c r="H216" s="17">
        <f t="shared" si="13"/>
        <v>0</v>
      </c>
      <c r="I216" s="17">
        <f t="shared" si="14"/>
        <v>0</v>
      </c>
      <c r="J216" s="17">
        <f t="shared" si="15"/>
        <v>0</v>
      </c>
    </row>
    <row r="217" spans="1:10" ht="13.5" thickBot="1">
      <c r="A217" s="15" t="str">
        <f>IF('[1]R-2010'!H217&lt;&gt;"","07974082000114","")</f>
        <v>07974082000114</v>
      </c>
      <c r="B217" s="15" t="str">
        <f t="shared" si="12"/>
        <v>07974082000114</v>
      </c>
      <c r="C217" s="15" t="str">
        <f>IFERROR(TEXT(VALUE(SUBSTITUTE(SUBSTITUTE(SUBSTITUTE('[1]R-2010'!H217,".",""),"/",""),"-","")),"00000000000"),"")</f>
        <v>3420933000126</v>
      </c>
      <c r="D217" s="5">
        <f>IFERROR('[1]R-2010'!J217,"")</f>
        <v>45870</v>
      </c>
      <c r="E217" s="15" t="str">
        <f>""</f>
        <v/>
      </c>
      <c r="F217" s="15"/>
      <c r="G217" s="16">
        <f>IFERROR('[1]R-2010'!L217,"")</f>
        <v>1423.63</v>
      </c>
      <c r="H217" s="17">
        <f t="shared" si="13"/>
        <v>0</v>
      </c>
      <c r="I217" s="17">
        <f t="shared" si="14"/>
        <v>0</v>
      </c>
      <c r="J217" s="17">
        <f t="shared" si="15"/>
        <v>0</v>
      </c>
    </row>
    <row r="218" spans="1:10" ht="13.5" thickBot="1">
      <c r="A218" s="15" t="str">
        <f>IF('[1]R-2010'!H218&lt;&gt;"","07974082000114","")</f>
        <v>07974082000114</v>
      </c>
      <c r="B218" s="15" t="str">
        <f t="shared" si="12"/>
        <v>07974082000114</v>
      </c>
      <c r="C218" s="15" t="str">
        <f>IFERROR(TEXT(VALUE(SUBSTITUTE(SUBSTITUTE(SUBSTITUTE('[1]R-2010'!H218,".",""),"/",""),"-","")),"00000000000"),"")</f>
        <v>3420933000126</v>
      </c>
      <c r="D218" s="5">
        <f>IFERROR('[1]R-2010'!J218,"")</f>
        <v>45870</v>
      </c>
      <c r="E218" s="15" t="str">
        <f>""</f>
        <v/>
      </c>
      <c r="F218" s="15"/>
      <c r="G218" s="16">
        <f>IFERROR('[1]R-2010'!L218,"")</f>
        <v>1423.63</v>
      </c>
      <c r="H218" s="17">
        <f t="shared" si="13"/>
        <v>0</v>
      </c>
      <c r="I218" s="17">
        <f t="shared" si="14"/>
        <v>0</v>
      </c>
      <c r="J218" s="17">
        <f t="shared" si="15"/>
        <v>0</v>
      </c>
    </row>
    <row r="219" spans="1:10" ht="13.5" thickBot="1">
      <c r="A219" s="15" t="str">
        <f>IF('[1]R-2010'!H219&lt;&gt;"","07974082000114","")</f>
        <v>07974082000114</v>
      </c>
      <c r="B219" s="15" t="str">
        <f t="shared" si="12"/>
        <v>07974082000114</v>
      </c>
      <c r="C219" s="15" t="str">
        <f>IFERROR(TEXT(VALUE(SUBSTITUTE(SUBSTITUTE(SUBSTITUTE('[1]R-2010'!H219,".",""),"/",""),"-","")),"00000000000"),"")</f>
        <v>3420933000126</v>
      </c>
      <c r="D219" s="5">
        <f>IFERROR('[1]R-2010'!J219,"")</f>
        <v>45870</v>
      </c>
      <c r="E219" s="15" t="str">
        <f>""</f>
        <v/>
      </c>
      <c r="F219" s="15"/>
      <c r="G219" s="16">
        <f>IFERROR('[1]R-2010'!L219,"")</f>
        <v>1442.27</v>
      </c>
      <c r="H219" s="17">
        <f t="shared" si="13"/>
        <v>0</v>
      </c>
      <c r="I219" s="17">
        <f t="shared" si="14"/>
        <v>0</v>
      </c>
      <c r="J219" s="17">
        <f t="shared" si="15"/>
        <v>0</v>
      </c>
    </row>
    <row r="220" spans="1:10" ht="13.5" thickBot="1">
      <c r="A220" s="15" t="str">
        <f>IF('[1]R-2010'!H220&lt;&gt;"","07974082000114","")</f>
        <v>07974082000114</v>
      </c>
      <c r="B220" s="15" t="str">
        <f t="shared" si="12"/>
        <v>07974082000114</v>
      </c>
      <c r="C220" s="15" t="str">
        <f>IFERROR(TEXT(VALUE(SUBSTITUTE(SUBSTITUTE(SUBSTITUTE('[1]R-2010'!H220,".",""),"/",""),"-","")),"00000000000"),"")</f>
        <v>3420933000126</v>
      </c>
      <c r="D220" s="5">
        <f>IFERROR('[1]R-2010'!J220,"")</f>
        <v>45870</v>
      </c>
      <c r="E220" s="15" t="str">
        <f>""</f>
        <v/>
      </c>
      <c r="F220" s="15"/>
      <c r="G220" s="16">
        <f>IFERROR('[1]R-2010'!L220,"")</f>
        <v>1442.27</v>
      </c>
      <c r="H220" s="17">
        <f t="shared" si="13"/>
        <v>0</v>
      </c>
      <c r="I220" s="17">
        <f t="shared" si="14"/>
        <v>0</v>
      </c>
      <c r="J220" s="17">
        <f t="shared" si="15"/>
        <v>0</v>
      </c>
    </row>
    <row r="221" spans="1:10" ht="13.5" thickBot="1">
      <c r="A221" s="15" t="str">
        <f>IF('[1]R-2010'!H221&lt;&gt;"","07974082000114","")</f>
        <v>07974082000114</v>
      </c>
      <c r="B221" s="15" t="str">
        <f t="shared" si="12"/>
        <v>07974082000114</v>
      </c>
      <c r="C221" s="15" t="str">
        <f>IFERROR(TEXT(VALUE(SUBSTITUTE(SUBSTITUTE(SUBSTITUTE('[1]R-2010'!H221,".",""),"/",""),"-","")),"00000000000"),"")</f>
        <v>3420933000126</v>
      </c>
      <c r="D221" s="5">
        <f>IFERROR('[1]R-2010'!J221,"")</f>
        <v>45870</v>
      </c>
      <c r="E221" s="15" t="str">
        <f>""</f>
        <v/>
      </c>
      <c r="F221" s="15"/>
      <c r="G221" s="16">
        <f>IFERROR('[1]R-2010'!L221,"")</f>
        <v>1442.27</v>
      </c>
      <c r="H221" s="17">
        <f t="shared" si="13"/>
        <v>0</v>
      </c>
      <c r="I221" s="17">
        <f t="shared" si="14"/>
        <v>0</v>
      </c>
      <c r="J221" s="17">
        <f t="shared" si="15"/>
        <v>0</v>
      </c>
    </row>
    <row r="222" spans="1:10" ht="13.5" thickBot="1">
      <c r="A222" s="15" t="str">
        <f>IF('[1]R-2010'!H222&lt;&gt;"","07974082000114","")</f>
        <v>07974082000114</v>
      </c>
      <c r="B222" s="15" t="str">
        <f t="shared" si="12"/>
        <v>07974082000114</v>
      </c>
      <c r="C222" s="15" t="str">
        <f>IFERROR(TEXT(VALUE(SUBSTITUTE(SUBSTITUTE(SUBSTITUTE('[1]R-2010'!H222,".",""),"/",""),"-","")),"00000000000"),"")</f>
        <v>3420933000126</v>
      </c>
      <c r="D222" s="5">
        <f>IFERROR('[1]R-2010'!J222,"")</f>
        <v>45870</v>
      </c>
      <c r="E222" s="15" t="str">
        <f>""</f>
        <v/>
      </c>
      <c r="F222" s="15"/>
      <c r="G222" s="16">
        <f>IFERROR('[1]R-2010'!L222,"")</f>
        <v>1442.27</v>
      </c>
      <c r="H222" s="17">
        <f t="shared" si="13"/>
        <v>0</v>
      </c>
      <c r="I222" s="17">
        <f t="shared" si="14"/>
        <v>0</v>
      </c>
      <c r="J222" s="17">
        <f t="shared" si="15"/>
        <v>0</v>
      </c>
    </row>
    <row r="223" spans="1:10" ht="13.5" thickBot="1">
      <c r="A223" s="15" t="str">
        <f>IF('[1]R-2010'!H223&lt;&gt;"","07974082000114","")</f>
        <v>07974082000114</v>
      </c>
      <c r="B223" s="15" t="str">
        <f t="shared" si="12"/>
        <v>07974082000114</v>
      </c>
      <c r="C223" s="15" t="str">
        <f>IFERROR(TEXT(VALUE(SUBSTITUTE(SUBSTITUTE(SUBSTITUTE('[1]R-2010'!H223,".",""),"/",""),"-","")),"00000000000"),"")</f>
        <v>3420933000126</v>
      </c>
      <c r="D223" s="5">
        <f>IFERROR('[1]R-2010'!J223,"")</f>
        <v>45870</v>
      </c>
      <c r="E223" s="15" t="str">
        <f>""</f>
        <v/>
      </c>
      <c r="F223" s="15"/>
      <c r="G223" s="16">
        <f>IFERROR('[1]R-2010'!L223,"")</f>
        <v>4761.4799999999996</v>
      </c>
      <c r="H223" s="17">
        <f t="shared" si="13"/>
        <v>0</v>
      </c>
      <c r="I223" s="17">
        <f t="shared" si="14"/>
        <v>0</v>
      </c>
      <c r="J223" s="17">
        <f t="shared" si="15"/>
        <v>0</v>
      </c>
    </row>
    <row r="224" spans="1:10" ht="13.5" thickBot="1">
      <c r="A224" s="15" t="str">
        <f>IF('[1]R-2010'!H224&lt;&gt;"","07974082000114","")</f>
        <v>07974082000114</v>
      </c>
      <c r="B224" s="15" t="str">
        <f t="shared" si="12"/>
        <v>07974082000114</v>
      </c>
      <c r="C224" s="15" t="str">
        <f>IFERROR(TEXT(VALUE(SUBSTITUTE(SUBSTITUTE(SUBSTITUTE('[1]R-2010'!H224,".",""),"/",""),"-","")),"00000000000"),"")</f>
        <v>3420933000126</v>
      </c>
      <c r="D224" s="5">
        <f>IFERROR('[1]R-2010'!J224,"")</f>
        <v>45870</v>
      </c>
      <c r="E224" s="15" t="str">
        <f>""</f>
        <v/>
      </c>
      <c r="F224" s="15"/>
      <c r="G224" s="16">
        <f>IFERROR('[1]R-2010'!L224,"")</f>
        <v>4761.4799999999996</v>
      </c>
      <c r="H224" s="17">
        <f t="shared" si="13"/>
        <v>0</v>
      </c>
      <c r="I224" s="17">
        <f t="shared" si="14"/>
        <v>0</v>
      </c>
      <c r="J224" s="17">
        <f t="shared" si="15"/>
        <v>0</v>
      </c>
    </row>
    <row r="225" spans="1:10" ht="13.5" thickBot="1">
      <c r="A225" s="15" t="str">
        <f>IF('[1]R-2010'!H225&lt;&gt;"","07974082000114","")</f>
        <v>07974082000114</v>
      </c>
      <c r="B225" s="15" t="str">
        <f t="shared" si="12"/>
        <v>07974082000114</v>
      </c>
      <c r="C225" s="15" t="str">
        <f>IFERROR(TEXT(VALUE(SUBSTITUTE(SUBSTITUTE(SUBSTITUTE('[1]R-2010'!H225,".",""),"/",""),"-","")),"00000000000"),"")</f>
        <v>3420933000126</v>
      </c>
      <c r="D225" s="5">
        <f>IFERROR('[1]R-2010'!J225,"")</f>
        <v>45870</v>
      </c>
      <c r="E225" s="15" t="str">
        <f>""</f>
        <v/>
      </c>
      <c r="F225" s="15"/>
      <c r="G225" s="16">
        <f>IFERROR('[1]R-2010'!L225,"")</f>
        <v>4761.4799999999996</v>
      </c>
      <c r="H225" s="17">
        <f t="shared" si="13"/>
        <v>0</v>
      </c>
      <c r="I225" s="17">
        <f t="shared" si="14"/>
        <v>0</v>
      </c>
      <c r="J225" s="17">
        <f t="shared" si="15"/>
        <v>0</v>
      </c>
    </row>
    <row r="226" spans="1:10" ht="13.5" thickBot="1">
      <c r="A226" s="15" t="str">
        <f>IF('[1]R-2010'!H226&lt;&gt;"","07974082000114","")</f>
        <v>07974082000114</v>
      </c>
      <c r="B226" s="15" t="str">
        <f t="shared" si="12"/>
        <v>07974082000114</v>
      </c>
      <c r="C226" s="15" t="str">
        <f>IFERROR(TEXT(VALUE(SUBSTITUTE(SUBSTITUTE(SUBSTITUTE('[1]R-2010'!H226,".",""),"/",""),"-","")),"00000000000"),"")</f>
        <v>3420933000126</v>
      </c>
      <c r="D226" s="5">
        <f>IFERROR('[1]R-2010'!J226,"")</f>
        <v>45870</v>
      </c>
      <c r="E226" s="15" t="str">
        <f>""</f>
        <v/>
      </c>
      <c r="F226" s="15"/>
      <c r="G226" s="16">
        <f>IFERROR('[1]R-2010'!L226,"")</f>
        <v>4925.4799999999996</v>
      </c>
      <c r="H226" s="17">
        <f t="shared" si="13"/>
        <v>0</v>
      </c>
      <c r="I226" s="17">
        <f t="shared" si="14"/>
        <v>0</v>
      </c>
      <c r="J226" s="17">
        <f t="shared" si="15"/>
        <v>0</v>
      </c>
    </row>
    <row r="227" spans="1:10" ht="13.5" thickBot="1">
      <c r="A227" s="15" t="str">
        <f>IF('[1]R-2010'!H227&lt;&gt;"","07974082000114","")</f>
        <v>07974082000114</v>
      </c>
      <c r="B227" s="15" t="str">
        <f t="shared" si="12"/>
        <v>07974082000114</v>
      </c>
      <c r="C227" s="15" t="str">
        <f>IFERROR(TEXT(VALUE(SUBSTITUTE(SUBSTITUTE(SUBSTITUTE('[1]R-2010'!H227,".",""),"/",""),"-","")),"00000000000"),"")</f>
        <v>3420933000126</v>
      </c>
      <c r="D227" s="5">
        <f>IFERROR('[1]R-2010'!J227,"")</f>
        <v>45870</v>
      </c>
      <c r="E227" s="15" t="str">
        <f>""</f>
        <v/>
      </c>
      <c r="F227" s="15"/>
      <c r="G227" s="16">
        <f>IFERROR('[1]R-2010'!L227,"")</f>
        <v>5835.02</v>
      </c>
      <c r="H227" s="17">
        <f t="shared" si="13"/>
        <v>0</v>
      </c>
      <c r="I227" s="17">
        <f t="shared" si="14"/>
        <v>0</v>
      </c>
      <c r="J227" s="17">
        <f t="shared" si="15"/>
        <v>0</v>
      </c>
    </row>
    <row r="228" spans="1:10" ht="13.5" thickBot="1">
      <c r="A228" s="15" t="str">
        <f>IF('[1]R-2010'!H228&lt;&gt;"","07974082000114","")</f>
        <v>07974082000114</v>
      </c>
      <c r="B228" s="15" t="str">
        <f t="shared" si="12"/>
        <v>07974082000114</v>
      </c>
      <c r="C228" s="15" t="str">
        <f>IFERROR(TEXT(VALUE(SUBSTITUTE(SUBSTITUTE(SUBSTITUTE('[1]R-2010'!H228,".",""),"/",""),"-","")),"00000000000"),"")</f>
        <v>3420933000126</v>
      </c>
      <c r="D228" s="5">
        <f>IFERROR('[1]R-2010'!J228,"")</f>
        <v>45870</v>
      </c>
      <c r="E228" s="15" t="str">
        <f>""</f>
        <v/>
      </c>
      <c r="F228" s="15"/>
      <c r="G228" s="16">
        <f>IFERROR('[1]R-2010'!L228,"")</f>
        <v>5835.02</v>
      </c>
      <c r="H228" s="17">
        <f t="shared" si="13"/>
        <v>0</v>
      </c>
      <c r="I228" s="17">
        <f t="shared" si="14"/>
        <v>0</v>
      </c>
      <c r="J228" s="17">
        <f t="shared" si="15"/>
        <v>0</v>
      </c>
    </row>
    <row r="229" spans="1:10" ht="13.5" thickBot="1">
      <c r="A229" s="15" t="str">
        <f>IF('[1]R-2010'!H229&lt;&gt;"","07974082000114","")</f>
        <v>07974082000114</v>
      </c>
      <c r="B229" s="15" t="str">
        <f t="shared" si="12"/>
        <v>07974082000114</v>
      </c>
      <c r="C229" s="15" t="str">
        <f>IFERROR(TEXT(VALUE(SUBSTITUTE(SUBSTITUTE(SUBSTITUTE('[1]R-2010'!H229,".",""),"/",""),"-","")),"00000000000"),"")</f>
        <v>3420933000126</v>
      </c>
      <c r="D229" s="5">
        <f>IFERROR('[1]R-2010'!J229,"")</f>
        <v>45870</v>
      </c>
      <c r="E229" s="15" t="str">
        <f>""</f>
        <v/>
      </c>
      <c r="F229" s="15"/>
      <c r="G229" s="16">
        <f>IFERROR('[1]R-2010'!L229,"")</f>
        <v>5835.02</v>
      </c>
      <c r="H229" s="17">
        <f t="shared" si="13"/>
        <v>0</v>
      </c>
      <c r="I229" s="17">
        <f t="shared" si="14"/>
        <v>0</v>
      </c>
      <c r="J229" s="17">
        <f t="shared" si="15"/>
        <v>0</v>
      </c>
    </row>
    <row r="230" spans="1:10" ht="13.5" thickBot="1">
      <c r="A230" s="15" t="str">
        <f>IF('[1]R-2010'!H230&lt;&gt;"","07974082000114","")</f>
        <v>07974082000114</v>
      </c>
      <c r="B230" s="15" t="str">
        <f t="shared" si="12"/>
        <v>07974082000114</v>
      </c>
      <c r="C230" s="15" t="str">
        <f>IFERROR(TEXT(VALUE(SUBSTITUTE(SUBSTITUTE(SUBSTITUTE('[1]R-2010'!H230,".",""),"/",""),"-","")),"00000000000"),"")</f>
        <v>3420933000126</v>
      </c>
      <c r="D230" s="5">
        <f>IFERROR('[1]R-2010'!J230,"")</f>
        <v>45870</v>
      </c>
      <c r="E230" s="15" t="str">
        <f>""</f>
        <v/>
      </c>
      <c r="F230" s="15"/>
      <c r="G230" s="16">
        <f>IFERROR('[1]R-2010'!L230,"")</f>
        <v>5835.02</v>
      </c>
      <c r="H230" s="17">
        <f t="shared" si="13"/>
        <v>0</v>
      </c>
      <c r="I230" s="17">
        <f t="shared" si="14"/>
        <v>0</v>
      </c>
      <c r="J230" s="17">
        <f t="shared" si="15"/>
        <v>0</v>
      </c>
    </row>
    <row r="231" spans="1:10" ht="13.5" thickBot="1">
      <c r="A231" s="15" t="str">
        <f>IF('[1]R-2010'!H231&lt;&gt;"","07974082000114","")</f>
        <v>07974082000114</v>
      </c>
      <c r="B231" s="15" t="str">
        <f t="shared" si="12"/>
        <v>07974082000114</v>
      </c>
      <c r="C231" s="15" t="str">
        <f>IFERROR(TEXT(VALUE(SUBSTITUTE(SUBSTITUTE(SUBSTITUTE('[1]R-2010'!H231,".",""),"/",""),"-","")),"00000000000"),"")</f>
        <v>26287364000198</v>
      </c>
      <c r="D231" s="5">
        <f>IFERROR('[1]R-2010'!J231,"")</f>
        <v>45870</v>
      </c>
      <c r="E231" s="15" t="str">
        <f>""</f>
        <v/>
      </c>
      <c r="F231" s="15"/>
      <c r="G231" s="16">
        <f>IFERROR('[1]R-2010'!L231,"")</f>
        <v>450807.5</v>
      </c>
      <c r="H231" s="17">
        <f t="shared" si="13"/>
        <v>0</v>
      </c>
      <c r="I231" s="17">
        <f t="shared" si="14"/>
        <v>0</v>
      </c>
      <c r="J231" s="17">
        <f t="shared" si="15"/>
        <v>0</v>
      </c>
    </row>
    <row r="232" spans="1:10" ht="13.5" thickBot="1">
      <c r="A232" s="15" t="str">
        <f>IF('[1]R-2010'!H232&lt;&gt;"","07974082000114","")</f>
        <v>07974082000114</v>
      </c>
      <c r="B232" s="15" t="str">
        <f t="shared" si="12"/>
        <v>07974082000114</v>
      </c>
      <c r="C232" s="15" t="str">
        <f>IFERROR(TEXT(VALUE(SUBSTITUTE(SUBSTITUTE(SUBSTITUTE('[1]R-2010'!H232,".",""),"/",""),"-","")),"00000000000"),"")</f>
        <v>7945667000106</v>
      </c>
      <c r="D232" s="5">
        <f>IFERROR('[1]R-2010'!J232,"")</f>
        <v>45870</v>
      </c>
      <c r="E232" s="15" t="str">
        <f>""</f>
        <v/>
      </c>
      <c r="F232" s="15"/>
      <c r="G232" s="16">
        <f>IFERROR('[1]R-2010'!L232,"")</f>
        <v>6000</v>
      </c>
      <c r="H232" s="17">
        <f t="shared" si="13"/>
        <v>0</v>
      </c>
      <c r="I232" s="17">
        <f t="shared" si="14"/>
        <v>0</v>
      </c>
      <c r="J232" s="17">
        <f t="shared" si="15"/>
        <v>0</v>
      </c>
    </row>
    <row r="233" spans="1:10" ht="13.5" thickBot="1">
      <c r="A233" s="15" t="str">
        <f>IF('[1]R-2010'!H233&lt;&gt;"","07974082000114","")</f>
        <v>07974082000114</v>
      </c>
      <c r="B233" s="15" t="str">
        <f t="shared" si="12"/>
        <v>07974082000114</v>
      </c>
      <c r="C233" s="15" t="str">
        <f>IFERROR(TEXT(VALUE(SUBSTITUTE(SUBSTITUTE(SUBSTITUTE('[1]R-2010'!H233,".",""),"/",""),"-","")),"00000000000"),"")</f>
        <v>3420933000126</v>
      </c>
      <c r="D233" s="5">
        <f>IFERROR('[1]R-2010'!J233,"")</f>
        <v>45870</v>
      </c>
      <c r="E233" s="15" t="str">
        <f>""</f>
        <v/>
      </c>
      <c r="F233" s="15"/>
      <c r="G233" s="16">
        <f>IFERROR('[1]R-2010'!L233,"")</f>
        <v>2001.98</v>
      </c>
      <c r="H233" s="17">
        <f t="shared" si="13"/>
        <v>0</v>
      </c>
      <c r="I233" s="17">
        <f t="shared" si="14"/>
        <v>0</v>
      </c>
      <c r="J233" s="17">
        <f t="shared" si="15"/>
        <v>0</v>
      </c>
    </row>
    <row r="234" spans="1:10" ht="13.5" thickBot="1">
      <c r="A234" s="15" t="str">
        <f>IF('[1]R-2010'!H234&lt;&gt;"","07974082000114","")</f>
        <v>07974082000114</v>
      </c>
      <c r="B234" s="15" t="str">
        <f t="shared" si="12"/>
        <v>07974082000114</v>
      </c>
      <c r="C234" s="15" t="str">
        <f>IFERROR(TEXT(VALUE(SUBSTITUTE(SUBSTITUTE(SUBSTITUTE('[1]R-2010'!H234,".",""),"/",""),"-","")),"00000000000"),"")</f>
        <v>3420933000126</v>
      </c>
      <c r="D234" s="5">
        <f>IFERROR('[1]R-2010'!J234,"")</f>
        <v>45870</v>
      </c>
      <c r="E234" s="15" t="str">
        <f>""</f>
        <v/>
      </c>
      <c r="F234" s="15"/>
      <c r="G234" s="16">
        <f>IFERROR('[1]R-2010'!L234,"")</f>
        <v>2001.98</v>
      </c>
      <c r="H234" s="17">
        <f t="shared" si="13"/>
        <v>0</v>
      </c>
      <c r="I234" s="17">
        <f t="shared" si="14"/>
        <v>0</v>
      </c>
      <c r="J234" s="17">
        <f t="shared" si="15"/>
        <v>0</v>
      </c>
    </row>
    <row r="235" spans="1:10" ht="13.5" thickBot="1">
      <c r="A235" s="15" t="str">
        <f>IF('[1]R-2010'!H235&lt;&gt;"","07974082000114","")</f>
        <v>07974082000114</v>
      </c>
      <c r="B235" s="15" t="str">
        <f t="shared" si="12"/>
        <v>07974082000114</v>
      </c>
      <c r="C235" s="15" t="str">
        <f>IFERROR(TEXT(VALUE(SUBSTITUTE(SUBSTITUTE(SUBSTITUTE('[1]R-2010'!H235,".",""),"/",""),"-","")),"00000000000"),"")</f>
        <v>3420933000126</v>
      </c>
      <c r="D235" s="5">
        <f>IFERROR('[1]R-2010'!J235,"")</f>
        <v>45870</v>
      </c>
      <c r="E235" s="15" t="str">
        <f>""</f>
        <v/>
      </c>
      <c r="F235" s="15"/>
      <c r="G235" s="16">
        <f>IFERROR('[1]R-2010'!L235,"")</f>
        <v>2001.98</v>
      </c>
      <c r="H235" s="17">
        <f t="shared" si="13"/>
        <v>0</v>
      </c>
      <c r="I235" s="17">
        <f t="shared" si="14"/>
        <v>0</v>
      </c>
      <c r="J235" s="17">
        <f t="shared" si="15"/>
        <v>0</v>
      </c>
    </row>
    <row r="236" spans="1:10" ht="13.5" thickBot="1">
      <c r="A236" s="15" t="str">
        <f>IF('[1]R-2010'!H236&lt;&gt;"","07974082000114","")</f>
        <v>07974082000114</v>
      </c>
      <c r="B236" s="15" t="str">
        <f t="shared" si="12"/>
        <v>07974082000114</v>
      </c>
      <c r="C236" s="15" t="str">
        <f>IFERROR(TEXT(VALUE(SUBSTITUTE(SUBSTITUTE(SUBSTITUTE('[1]R-2010'!H236,".",""),"/",""),"-","")),"00000000000"),"")</f>
        <v>3420933000126</v>
      </c>
      <c r="D236" s="5">
        <f>IFERROR('[1]R-2010'!J236,"")</f>
        <v>45870</v>
      </c>
      <c r="E236" s="15" t="str">
        <f>""</f>
        <v/>
      </c>
      <c r="F236" s="15"/>
      <c r="G236" s="16">
        <f>IFERROR('[1]R-2010'!L236,"")</f>
        <v>2001.98</v>
      </c>
      <c r="H236" s="17">
        <f t="shared" si="13"/>
        <v>0</v>
      </c>
      <c r="I236" s="17">
        <f t="shared" si="14"/>
        <v>0</v>
      </c>
      <c r="J236" s="17">
        <f t="shared" si="15"/>
        <v>0</v>
      </c>
    </row>
    <row r="237" spans="1:10" ht="13.5" thickBot="1">
      <c r="A237" s="15" t="str">
        <f>IF('[1]R-2010'!H237&lt;&gt;"","07974082000114","")</f>
        <v>07974082000114</v>
      </c>
      <c r="B237" s="15" t="str">
        <f t="shared" si="12"/>
        <v>07974082000114</v>
      </c>
      <c r="C237" s="15" t="str">
        <f>IFERROR(TEXT(VALUE(SUBSTITUTE(SUBSTITUTE(SUBSTITUTE('[1]R-2010'!H237,".",""),"/",""),"-","")),"00000000000"),"")</f>
        <v>3420933000126</v>
      </c>
      <c r="D237" s="5">
        <f>IFERROR('[1]R-2010'!J237,"")</f>
        <v>45870</v>
      </c>
      <c r="E237" s="15" t="str">
        <f>""</f>
        <v/>
      </c>
      <c r="F237" s="15"/>
      <c r="G237" s="16">
        <f>IFERROR('[1]R-2010'!L237,"")</f>
        <v>2001.98</v>
      </c>
      <c r="H237" s="17">
        <f t="shared" si="13"/>
        <v>0</v>
      </c>
      <c r="I237" s="17">
        <f t="shared" si="14"/>
        <v>0</v>
      </c>
      <c r="J237" s="17">
        <f t="shared" si="15"/>
        <v>0</v>
      </c>
    </row>
    <row r="238" spans="1:10" ht="13.5" thickBot="1">
      <c r="A238" s="15" t="str">
        <f>IF('[1]R-2010'!H238&lt;&gt;"","07974082000114","")</f>
        <v>07974082000114</v>
      </c>
      <c r="B238" s="15" t="str">
        <f t="shared" si="12"/>
        <v>07974082000114</v>
      </c>
      <c r="C238" s="15" t="str">
        <f>IFERROR(TEXT(VALUE(SUBSTITUTE(SUBSTITUTE(SUBSTITUTE('[1]R-2010'!H238,".",""),"/",""),"-","")),"00000000000"),"")</f>
        <v>3420933000126</v>
      </c>
      <c r="D238" s="5">
        <f>IFERROR('[1]R-2010'!J238,"")</f>
        <v>45870</v>
      </c>
      <c r="E238" s="15" t="str">
        <f>""</f>
        <v/>
      </c>
      <c r="F238" s="15"/>
      <c r="G238" s="16">
        <f>IFERROR('[1]R-2010'!L238,"")</f>
        <v>2001.98</v>
      </c>
      <c r="H238" s="17">
        <f t="shared" si="13"/>
        <v>0</v>
      </c>
      <c r="I238" s="17">
        <f t="shared" si="14"/>
        <v>0</v>
      </c>
      <c r="J238" s="17">
        <f t="shared" si="15"/>
        <v>0</v>
      </c>
    </row>
    <row r="239" spans="1:10" ht="13.5" thickBot="1">
      <c r="A239" s="15" t="str">
        <f>IF('[1]R-2010'!H239&lt;&gt;"","07974082000114","")</f>
        <v>07974082000114</v>
      </c>
      <c r="B239" s="15" t="str">
        <f t="shared" si="12"/>
        <v>07974082000114</v>
      </c>
      <c r="C239" s="15" t="str">
        <f>IFERROR(TEXT(VALUE(SUBSTITUTE(SUBSTITUTE(SUBSTITUTE('[1]R-2010'!H239,".",""),"/",""),"-","")),"00000000000"),"")</f>
        <v>3420933000126</v>
      </c>
      <c r="D239" s="5">
        <f>IFERROR('[1]R-2010'!J239,"")</f>
        <v>45870</v>
      </c>
      <c r="E239" s="15" t="str">
        <f>""</f>
        <v/>
      </c>
      <c r="F239" s="15"/>
      <c r="G239" s="16">
        <f>IFERROR('[1]R-2010'!L239,"")</f>
        <v>3573.59</v>
      </c>
      <c r="H239" s="17">
        <f t="shared" si="13"/>
        <v>0</v>
      </c>
      <c r="I239" s="17">
        <f t="shared" si="14"/>
        <v>0</v>
      </c>
      <c r="J239" s="17">
        <f t="shared" si="15"/>
        <v>0</v>
      </c>
    </row>
    <row r="240" spans="1:10" ht="13.5" thickBot="1">
      <c r="A240" s="15" t="str">
        <f>IF('[1]R-2010'!H240&lt;&gt;"","07974082000114","")</f>
        <v>07974082000114</v>
      </c>
      <c r="B240" s="15" t="str">
        <f t="shared" si="12"/>
        <v>07974082000114</v>
      </c>
      <c r="C240" s="15" t="str">
        <f>IFERROR(TEXT(VALUE(SUBSTITUTE(SUBSTITUTE(SUBSTITUTE('[1]R-2010'!H240,".",""),"/",""),"-","")),"00000000000"),"")</f>
        <v>3420933000126</v>
      </c>
      <c r="D240" s="5">
        <f>IFERROR('[1]R-2010'!J240,"")</f>
        <v>45870</v>
      </c>
      <c r="E240" s="15" t="str">
        <f>""</f>
        <v/>
      </c>
      <c r="F240" s="15"/>
      <c r="G240" s="16">
        <f>IFERROR('[1]R-2010'!L240,"")</f>
        <v>3870.07</v>
      </c>
      <c r="H240" s="17">
        <f t="shared" si="13"/>
        <v>0</v>
      </c>
      <c r="I240" s="17">
        <f t="shared" si="14"/>
        <v>0</v>
      </c>
      <c r="J240" s="17">
        <f t="shared" si="15"/>
        <v>0</v>
      </c>
    </row>
    <row r="241" spans="1:10" ht="13.5" thickBot="1">
      <c r="A241" s="15" t="str">
        <f>IF('[1]R-2010'!H241&lt;&gt;"","07974082000114","")</f>
        <v>07974082000114</v>
      </c>
      <c r="B241" s="15" t="str">
        <f t="shared" si="12"/>
        <v>07974082000114</v>
      </c>
      <c r="C241" s="15" t="str">
        <f>IFERROR(TEXT(VALUE(SUBSTITUTE(SUBSTITUTE(SUBSTITUTE('[1]R-2010'!H241,".",""),"/",""),"-","")),"00000000000"),"")</f>
        <v>3420933000126</v>
      </c>
      <c r="D241" s="5">
        <f>IFERROR('[1]R-2010'!J241,"")</f>
        <v>45870</v>
      </c>
      <c r="E241" s="15" t="str">
        <f>""</f>
        <v/>
      </c>
      <c r="F241" s="15"/>
      <c r="G241" s="16">
        <f>IFERROR('[1]R-2010'!L241,"")</f>
        <v>3870.07</v>
      </c>
      <c r="H241" s="17">
        <f t="shared" si="13"/>
        <v>0</v>
      </c>
      <c r="I241" s="17">
        <f t="shared" si="14"/>
        <v>0</v>
      </c>
      <c r="J241" s="17">
        <f t="shared" si="15"/>
        <v>0</v>
      </c>
    </row>
    <row r="242" spans="1:10" ht="13.5" thickBot="1">
      <c r="A242" s="15" t="str">
        <f>IF('[1]R-2010'!H242&lt;&gt;"","07974082000114","")</f>
        <v>07974082000114</v>
      </c>
      <c r="B242" s="15" t="str">
        <f t="shared" si="12"/>
        <v>07974082000114</v>
      </c>
      <c r="C242" s="15" t="str">
        <f>IFERROR(TEXT(VALUE(SUBSTITUTE(SUBSTITUTE(SUBSTITUTE('[1]R-2010'!H242,".",""),"/",""),"-","")),"00000000000"),"")</f>
        <v>3420933000126</v>
      </c>
      <c r="D242" s="5">
        <f>IFERROR('[1]R-2010'!J242,"")</f>
        <v>45870</v>
      </c>
      <c r="E242" s="15" t="str">
        <f>""</f>
        <v/>
      </c>
      <c r="F242" s="15"/>
      <c r="G242" s="16">
        <f>IFERROR('[1]R-2010'!L242,"")</f>
        <v>3870.07</v>
      </c>
      <c r="H242" s="17">
        <f t="shared" si="13"/>
        <v>0</v>
      </c>
      <c r="I242" s="17">
        <f t="shared" si="14"/>
        <v>0</v>
      </c>
      <c r="J242" s="17">
        <f t="shared" si="15"/>
        <v>0</v>
      </c>
    </row>
    <row r="243" spans="1:10" ht="13.5" thickBot="1">
      <c r="A243" s="15" t="str">
        <f>IF('[1]R-2010'!H243&lt;&gt;"","07974082000114","")</f>
        <v>07974082000114</v>
      </c>
      <c r="B243" s="15" t="str">
        <f t="shared" si="12"/>
        <v>07974082000114</v>
      </c>
      <c r="C243" s="15" t="str">
        <f>IFERROR(TEXT(VALUE(SUBSTITUTE(SUBSTITUTE(SUBSTITUTE('[1]R-2010'!H243,".",""),"/",""),"-","")),"00000000000"),"")</f>
        <v>3420933000126</v>
      </c>
      <c r="D243" s="5">
        <f>IFERROR('[1]R-2010'!J243,"")</f>
        <v>45870</v>
      </c>
      <c r="E243" s="15" t="str">
        <f>""</f>
        <v/>
      </c>
      <c r="F243" s="15"/>
      <c r="G243" s="16">
        <f>IFERROR('[1]R-2010'!L243,"")</f>
        <v>3870.07</v>
      </c>
      <c r="H243" s="17">
        <f t="shared" si="13"/>
        <v>0</v>
      </c>
      <c r="I243" s="17">
        <f t="shared" si="14"/>
        <v>0</v>
      </c>
      <c r="J243" s="17">
        <f t="shared" si="15"/>
        <v>0</v>
      </c>
    </row>
    <row r="244" spans="1:10" ht="13.5" thickBot="1">
      <c r="A244" s="15" t="str">
        <f>IF('[1]R-2010'!H244&lt;&gt;"","07974082000114","")</f>
        <v>07974082000114</v>
      </c>
      <c r="B244" s="15" t="str">
        <f t="shared" si="12"/>
        <v>07974082000114</v>
      </c>
      <c r="C244" s="15" t="str">
        <f>IFERROR(TEXT(VALUE(SUBSTITUTE(SUBSTITUTE(SUBSTITUTE('[1]R-2010'!H244,".",""),"/",""),"-","")),"00000000000"),"")</f>
        <v>3420933000126</v>
      </c>
      <c r="D244" s="5">
        <f>IFERROR('[1]R-2010'!J244,"")</f>
        <v>45870</v>
      </c>
      <c r="E244" s="15" t="str">
        <f>""</f>
        <v/>
      </c>
      <c r="F244" s="15"/>
      <c r="G244" s="16">
        <f>IFERROR('[1]R-2010'!L244,"")</f>
        <v>3901.59</v>
      </c>
      <c r="H244" s="17">
        <f t="shared" si="13"/>
        <v>0</v>
      </c>
      <c r="I244" s="17">
        <f t="shared" si="14"/>
        <v>0</v>
      </c>
      <c r="J244" s="17">
        <f t="shared" si="15"/>
        <v>0</v>
      </c>
    </row>
    <row r="245" spans="1:10" ht="13.5" thickBot="1">
      <c r="A245" s="15" t="str">
        <f>IF('[1]R-2010'!H245&lt;&gt;"","07974082000114","")</f>
        <v>07974082000114</v>
      </c>
      <c r="B245" s="15" t="str">
        <f t="shared" si="12"/>
        <v>07974082000114</v>
      </c>
      <c r="C245" s="15" t="str">
        <f>IFERROR(TEXT(VALUE(SUBSTITUTE(SUBSTITUTE(SUBSTITUTE('[1]R-2010'!H245,".",""),"/",""),"-","")),"00000000000"),"")</f>
        <v>3420933000126</v>
      </c>
      <c r="D245" s="5">
        <f>IFERROR('[1]R-2010'!J245,"")</f>
        <v>45870</v>
      </c>
      <c r="E245" s="15" t="str">
        <f>""</f>
        <v/>
      </c>
      <c r="F245" s="15"/>
      <c r="G245" s="16">
        <f>IFERROR('[1]R-2010'!L245,"")</f>
        <v>3931.59</v>
      </c>
      <c r="H245" s="17">
        <f t="shared" si="13"/>
        <v>0</v>
      </c>
      <c r="I245" s="17">
        <f t="shared" si="14"/>
        <v>0</v>
      </c>
      <c r="J245" s="17">
        <f t="shared" si="15"/>
        <v>0</v>
      </c>
    </row>
    <row r="246" spans="1:10" ht="13.5" thickBot="1">
      <c r="A246" s="15" t="str">
        <f>IF('[1]R-2010'!H246&lt;&gt;"","07974082000114","")</f>
        <v>07974082000114</v>
      </c>
      <c r="B246" s="15" t="str">
        <f t="shared" si="12"/>
        <v>07974082000114</v>
      </c>
      <c r="C246" s="15" t="str">
        <f>IFERROR(TEXT(VALUE(SUBSTITUTE(SUBSTITUTE(SUBSTITUTE('[1]R-2010'!H246,".",""),"/",""),"-","")),"00000000000"),"")</f>
        <v>3420933000126</v>
      </c>
      <c r="D246" s="5">
        <f>IFERROR('[1]R-2010'!J246,"")</f>
        <v>45870</v>
      </c>
      <c r="E246" s="15" t="str">
        <f>""</f>
        <v/>
      </c>
      <c r="F246" s="15"/>
      <c r="G246" s="16">
        <f>IFERROR('[1]R-2010'!L246,"")</f>
        <v>3931.59</v>
      </c>
      <c r="H246" s="17">
        <f t="shared" si="13"/>
        <v>0</v>
      </c>
      <c r="I246" s="17">
        <f t="shared" si="14"/>
        <v>0</v>
      </c>
      <c r="J246" s="17">
        <f t="shared" si="15"/>
        <v>0</v>
      </c>
    </row>
    <row r="247" spans="1:10" ht="13.5" thickBot="1">
      <c r="A247" s="15" t="str">
        <f>IF('[1]R-2010'!H247&lt;&gt;"","07974082000114","")</f>
        <v>07974082000114</v>
      </c>
      <c r="B247" s="15" t="str">
        <f t="shared" si="12"/>
        <v>07974082000114</v>
      </c>
      <c r="C247" s="15" t="str">
        <f>IFERROR(TEXT(VALUE(SUBSTITUTE(SUBSTITUTE(SUBSTITUTE('[1]R-2010'!H247,".",""),"/",""),"-","")),"00000000000"),"")</f>
        <v>3420933000126</v>
      </c>
      <c r="D247" s="5">
        <f>IFERROR('[1]R-2010'!J247,"")</f>
        <v>45870</v>
      </c>
      <c r="E247" s="15" t="str">
        <f>""</f>
        <v/>
      </c>
      <c r="F247" s="15"/>
      <c r="G247" s="16">
        <f>IFERROR('[1]R-2010'!L247,"")</f>
        <v>4891.3</v>
      </c>
      <c r="H247" s="17">
        <f t="shared" si="13"/>
        <v>0</v>
      </c>
      <c r="I247" s="17">
        <f t="shared" si="14"/>
        <v>0</v>
      </c>
      <c r="J247" s="17">
        <f t="shared" si="15"/>
        <v>0</v>
      </c>
    </row>
    <row r="248" spans="1:10" ht="13.5" thickBot="1">
      <c r="A248" s="15" t="str">
        <f>IF('[1]R-2010'!H248&lt;&gt;"","07974082000114","")</f>
        <v>07974082000114</v>
      </c>
      <c r="B248" s="15" t="str">
        <f t="shared" si="12"/>
        <v>07974082000114</v>
      </c>
      <c r="C248" s="15" t="str">
        <f>IFERROR(TEXT(VALUE(SUBSTITUTE(SUBSTITUTE(SUBSTITUTE('[1]R-2010'!H248,".",""),"/",""),"-","")),"00000000000"),"")</f>
        <v>3420933000126</v>
      </c>
      <c r="D248" s="5">
        <f>IFERROR('[1]R-2010'!J248,"")</f>
        <v>45870</v>
      </c>
      <c r="E248" s="15" t="str">
        <f>""</f>
        <v/>
      </c>
      <c r="F248" s="15"/>
      <c r="G248" s="16">
        <f>IFERROR('[1]R-2010'!L248,"")</f>
        <v>5898.7</v>
      </c>
      <c r="H248" s="17">
        <f t="shared" si="13"/>
        <v>0</v>
      </c>
      <c r="I248" s="17">
        <f t="shared" si="14"/>
        <v>0</v>
      </c>
      <c r="J248" s="17">
        <f t="shared" si="15"/>
        <v>0</v>
      </c>
    </row>
    <row r="249" spans="1:10" ht="13.5" thickBot="1">
      <c r="A249" s="15" t="str">
        <f>IF('[1]R-2010'!H249&lt;&gt;"","07974082000114","")</f>
        <v>07974082000114</v>
      </c>
      <c r="B249" s="15" t="str">
        <f t="shared" si="12"/>
        <v>07974082000114</v>
      </c>
      <c r="C249" s="15" t="str">
        <f>IFERROR(TEXT(VALUE(SUBSTITUTE(SUBSTITUTE(SUBSTITUTE('[1]R-2010'!H249,".",""),"/",""),"-","")),"00000000000"),"")</f>
        <v>3420933000126</v>
      </c>
      <c r="D249" s="5">
        <f>IFERROR('[1]R-2010'!J249,"")</f>
        <v>45870</v>
      </c>
      <c r="E249" s="15" t="str">
        <f>""</f>
        <v/>
      </c>
      <c r="F249" s="15"/>
      <c r="G249" s="16">
        <f>IFERROR('[1]R-2010'!L249,"")</f>
        <v>6075.7</v>
      </c>
      <c r="H249" s="17">
        <f t="shared" si="13"/>
        <v>0</v>
      </c>
      <c r="I249" s="17">
        <f t="shared" si="14"/>
        <v>0</v>
      </c>
      <c r="J249" s="17">
        <f t="shared" si="15"/>
        <v>0</v>
      </c>
    </row>
    <row r="250" spans="1:10" ht="13.5" thickBot="1">
      <c r="A250" s="15" t="str">
        <f>IF('[1]R-2010'!H250&lt;&gt;"","07974082000114","")</f>
        <v>07974082000114</v>
      </c>
      <c r="B250" s="15" t="str">
        <f t="shared" si="12"/>
        <v>07974082000114</v>
      </c>
      <c r="C250" s="15" t="str">
        <f>IFERROR(TEXT(VALUE(SUBSTITUTE(SUBSTITUTE(SUBSTITUTE('[1]R-2010'!H250,".",""),"/",""),"-","")),"00000000000"),"")</f>
        <v>3420933000126</v>
      </c>
      <c r="D250" s="5">
        <f>IFERROR('[1]R-2010'!J250,"")</f>
        <v>45870</v>
      </c>
      <c r="E250" s="15" t="str">
        <f>""</f>
        <v/>
      </c>
      <c r="F250" s="15"/>
      <c r="G250" s="16">
        <f>IFERROR('[1]R-2010'!L250,"")</f>
        <v>13447.64</v>
      </c>
      <c r="H250" s="17">
        <f t="shared" si="13"/>
        <v>0</v>
      </c>
      <c r="I250" s="17">
        <f t="shared" si="14"/>
        <v>0</v>
      </c>
      <c r="J250" s="17">
        <f t="shared" si="15"/>
        <v>0</v>
      </c>
    </row>
    <row r="251" spans="1:10" ht="13.5" thickBot="1">
      <c r="A251" s="15" t="str">
        <f>IF('[1]R-2010'!H251&lt;&gt;"","07974082000114","")</f>
        <v>07974082000114</v>
      </c>
      <c r="B251" s="15" t="str">
        <f t="shared" si="12"/>
        <v>07974082000114</v>
      </c>
      <c r="C251" s="15" t="str">
        <f>IFERROR(TEXT(VALUE(SUBSTITUTE(SUBSTITUTE(SUBSTITUTE('[1]R-2010'!H251,".",""),"/",""),"-","")),"00000000000"),"")</f>
        <v>27298172000140</v>
      </c>
      <c r="D251" s="5">
        <f>IFERROR('[1]R-2010'!J251,"")</f>
        <v>45870</v>
      </c>
      <c r="E251" s="15" t="str">
        <f>""</f>
        <v/>
      </c>
      <c r="F251" s="15"/>
      <c r="G251" s="16">
        <f>IFERROR('[1]R-2010'!L251,"")</f>
        <v>1460</v>
      </c>
      <c r="H251" s="17">
        <f t="shared" si="13"/>
        <v>0</v>
      </c>
      <c r="I251" s="17">
        <f t="shared" si="14"/>
        <v>0</v>
      </c>
      <c r="J251" s="17">
        <f t="shared" si="15"/>
        <v>0</v>
      </c>
    </row>
    <row r="252" spans="1:10" ht="13.5" thickBot="1">
      <c r="A252" s="15" t="str">
        <f>IF('[1]R-2010'!H252&lt;&gt;"","07974082000114","")</f>
        <v>07974082000114</v>
      </c>
      <c r="B252" s="15" t="str">
        <f t="shared" si="12"/>
        <v>07974082000114</v>
      </c>
      <c r="C252" s="15" t="str">
        <f>IFERROR(TEXT(VALUE(SUBSTITUTE(SUBSTITUTE(SUBSTITUTE('[1]R-2010'!H252,".",""),"/",""),"-","")),"00000000000"),"")</f>
        <v>27298172000140</v>
      </c>
      <c r="D252" s="5">
        <f>IFERROR('[1]R-2010'!J252,"")</f>
        <v>45870</v>
      </c>
      <c r="E252" s="15" t="str">
        <f>""</f>
        <v/>
      </c>
      <c r="F252" s="15"/>
      <c r="G252" s="16">
        <f>IFERROR('[1]R-2010'!L252,"")</f>
        <v>11920</v>
      </c>
      <c r="H252" s="17">
        <f t="shared" si="13"/>
        <v>0</v>
      </c>
      <c r="I252" s="17">
        <f t="shared" si="14"/>
        <v>0</v>
      </c>
      <c r="J252" s="17">
        <f t="shared" si="15"/>
        <v>0</v>
      </c>
    </row>
    <row r="253" spans="1:10" ht="13.5" thickBot="1">
      <c r="A253" s="15" t="str">
        <f>IF('[1]R-2010'!H253&lt;&gt;"","07974082000114","")</f>
        <v>07974082000114</v>
      </c>
      <c r="B253" s="15" t="str">
        <f t="shared" si="12"/>
        <v>07974082000114</v>
      </c>
      <c r="C253" s="15" t="str">
        <f>IFERROR(TEXT(VALUE(SUBSTITUTE(SUBSTITUTE(SUBSTITUTE('[1]R-2010'!H253,".",""),"/",""),"-","")),"00000000000"),"")</f>
        <v>27298172000140</v>
      </c>
      <c r="D253" s="5">
        <f>IFERROR('[1]R-2010'!J253,"")</f>
        <v>45870</v>
      </c>
      <c r="E253" s="15" t="str">
        <f>""</f>
        <v/>
      </c>
      <c r="F253" s="15"/>
      <c r="G253" s="16">
        <f>IFERROR('[1]R-2010'!L253,"")</f>
        <v>71060</v>
      </c>
      <c r="H253" s="17">
        <f t="shared" si="13"/>
        <v>0</v>
      </c>
      <c r="I253" s="17">
        <f t="shared" si="14"/>
        <v>0</v>
      </c>
      <c r="J253" s="17">
        <f t="shared" si="15"/>
        <v>0</v>
      </c>
    </row>
    <row r="254" spans="1:10" ht="13.5" thickBot="1">
      <c r="A254" s="15" t="str">
        <f>IF('[1]R-2010'!H254&lt;&gt;"","07974082000114","")</f>
        <v>07974082000114</v>
      </c>
      <c r="B254" s="15" t="str">
        <f t="shared" si="12"/>
        <v>07974082000114</v>
      </c>
      <c r="C254" s="15" t="str">
        <f>IFERROR(TEXT(VALUE(SUBSTITUTE(SUBSTITUTE(SUBSTITUTE('[1]R-2010'!H254,".",""),"/",""),"-","")),"00000000000"),"")</f>
        <v>30994850000113</v>
      </c>
      <c r="D254" s="5">
        <f>IFERROR('[1]R-2010'!J254,"")</f>
        <v>45870</v>
      </c>
      <c r="E254" s="15" t="str">
        <f>""</f>
        <v/>
      </c>
      <c r="F254" s="15"/>
      <c r="G254" s="16">
        <f>IFERROR('[1]R-2010'!L254,"")</f>
        <v>300000</v>
      </c>
      <c r="H254" s="17">
        <f t="shared" si="13"/>
        <v>0</v>
      </c>
      <c r="I254" s="17">
        <f t="shared" si="14"/>
        <v>0</v>
      </c>
      <c r="J254" s="17">
        <f t="shared" si="15"/>
        <v>0</v>
      </c>
    </row>
    <row r="255" spans="1:10" ht="13.5" thickBot="1">
      <c r="A255" s="15" t="str">
        <f>IF('[1]R-2010'!H255&lt;&gt;"","07974082000114","")</f>
        <v>07974082000114</v>
      </c>
      <c r="B255" s="15" t="str">
        <f t="shared" si="12"/>
        <v>07974082000114</v>
      </c>
      <c r="C255" s="15" t="str">
        <f>IFERROR(TEXT(VALUE(SUBSTITUTE(SUBSTITUTE(SUBSTITUTE('[1]R-2010'!H255,".",""),"/",""),"-","")),"00000000000"),"")</f>
        <v>24525971000113</v>
      </c>
      <c r="D255" s="5">
        <f>IFERROR('[1]R-2010'!J255,"")</f>
        <v>45870</v>
      </c>
      <c r="E255" s="15" t="str">
        <f>""</f>
        <v/>
      </c>
      <c r="F255" s="15"/>
      <c r="G255" s="16">
        <f>IFERROR('[1]R-2010'!L255,"")</f>
        <v>34496.28</v>
      </c>
      <c r="H255" s="17">
        <f t="shared" si="13"/>
        <v>0</v>
      </c>
      <c r="I255" s="17">
        <f t="shared" si="14"/>
        <v>0</v>
      </c>
      <c r="J255" s="17">
        <f t="shared" si="15"/>
        <v>0</v>
      </c>
    </row>
    <row r="256" spans="1:10" ht="13.5" thickBot="1">
      <c r="A256" s="15" t="str">
        <f>IF('[1]R-2010'!H256&lt;&gt;"","07974082000114","")</f>
        <v>07974082000114</v>
      </c>
      <c r="B256" s="15" t="str">
        <f t="shared" si="12"/>
        <v>07974082000114</v>
      </c>
      <c r="C256" s="15" t="str">
        <f>IFERROR(TEXT(VALUE(SUBSTITUTE(SUBSTITUTE(SUBSTITUTE('[1]R-2010'!H256,".",""),"/",""),"-","")),"00000000000"),"")</f>
        <v>22456063000190</v>
      </c>
      <c r="D256" s="5">
        <f>IFERROR('[1]R-2010'!J256,"")</f>
        <v>45870</v>
      </c>
      <c r="E256" s="15" t="str">
        <f>""</f>
        <v/>
      </c>
      <c r="F256" s="15"/>
      <c r="G256" s="16">
        <f>IFERROR('[1]R-2010'!L256,"")</f>
        <v>74742.33</v>
      </c>
      <c r="H256" s="17">
        <f t="shared" si="13"/>
        <v>0</v>
      </c>
      <c r="I256" s="17">
        <f t="shared" si="14"/>
        <v>0</v>
      </c>
      <c r="J256" s="17">
        <f t="shared" si="15"/>
        <v>0</v>
      </c>
    </row>
    <row r="257" spans="1:10" ht="13.5" thickBot="1">
      <c r="A257" s="15" t="str">
        <f>IF('[1]R-2010'!H257&lt;&gt;"","07974082000114","")</f>
        <v>07974082000114</v>
      </c>
      <c r="B257" s="15" t="str">
        <f t="shared" si="12"/>
        <v>07974082000114</v>
      </c>
      <c r="C257" s="15" t="str">
        <f>IFERROR(TEXT(VALUE(SUBSTITUTE(SUBSTITUTE(SUBSTITUTE('[1]R-2010'!H257,".",""),"/",""),"-","")),"00000000000"),"")</f>
        <v>24525971000113</v>
      </c>
      <c r="D257" s="5">
        <f>IFERROR('[1]R-2010'!J257,"")</f>
        <v>45870</v>
      </c>
      <c r="E257" s="15" t="str">
        <f>""</f>
        <v/>
      </c>
      <c r="F257" s="15"/>
      <c r="G257" s="16">
        <f>IFERROR('[1]R-2010'!L257,"")</f>
        <v>43120.35</v>
      </c>
      <c r="H257" s="17">
        <f t="shared" si="13"/>
        <v>0</v>
      </c>
      <c r="I257" s="17">
        <f t="shared" si="14"/>
        <v>0</v>
      </c>
      <c r="J257" s="17">
        <f t="shared" si="15"/>
        <v>0</v>
      </c>
    </row>
    <row r="258" spans="1:10" ht="13.5" thickBot="1">
      <c r="A258" s="15" t="str">
        <f>IF('[1]R-2010'!H258&lt;&gt;"","07974082000114","")</f>
        <v>07974082000114</v>
      </c>
      <c r="B258" s="15" t="str">
        <f t="shared" si="12"/>
        <v>07974082000114</v>
      </c>
      <c r="C258" s="15" t="str">
        <f>IFERROR(TEXT(VALUE(SUBSTITUTE(SUBSTITUTE(SUBSTITUTE('[1]R-2010'!H258,".",""),"/",""),"-","")),"00000000000"),"")</f>
        <v>30994850000113</v>
      </c>
      <c r="D258" s="5">
        <f>IFERROR('[1]R-2010'!J258,"")</f>
        <v>45870</v>
      </c>
      <c r="E258" s="15" t="str">
        <f>""</f>
        <v/>
      </c>
      <c r="F258" s="15"/>
      <c r="G258" s="16">
        <f>IFERROR('[1]R-2010'!L258,"")</f>
        <v>300000</v>
      </c>
      <c r="H258" s="17">
        <f t="shared" si="13"/>
        <v>0</v>
      </c>
      <c r="I258" s="17">
        <f t="shared" si="14"/>
        <v>0</v>
      </c>
      <c r="J258" s="17">
        <f t="shared" si="15"/>
        <v>0</v>
      </c>
    </row>
    <row r="259" spans="1:10" ht="13.5" thickBot="1">
      <c r="A259" s="15" t="str">
        <f>IF('[1]R-2010'!H259&lt;&gt;"","07974082000114","")</f>
        <v>07974082000114</v>
      </c>
      <c r="B259" s="15" t="str">
        <f t="shared" ref="B259:B322" si="16">IF(A259&lt;&gt;"",A259,"")</f>
        <v>07974082000114</v>
      </c>
      <c r="C259" s="15" t="str">
        <f>IFERROR(TEXT(VALUE(SUBSTITUTE(SUBSTITUTE(SUBSTITUTE('[1]R-2010'!H259,".",""),"/",""),"-","")),"00000000000"),"")</f>
        <v>18413043000164</v>
      </c>
      <c r="D259" s="5">
        <f>IFERROR('[1]R-2010'!J259,"")</f>
        <v>45870</v>
      </c>
      <c r="E259" s="15" t="str">
        <f>""</f>
        <v/>
      </c>
      <c r="F259" s="15"/>
      <c r="G259" s="16">
        <f>IFERROR('[1]R-2010'!L259,"")</f>
        <v>458883.78</v>
      </c>
      <c r="H259" s="17">
        <f t="shared" ref="H259:H322" si="17">IF(C259&lt;&gt;"",0,"")</f>
        <v>0</v>
      </c>
      <c r="I259" s="17">
        <f t="shared" ref="I259:I322" si="18">IF(C259&lt;&gt;"",0,"")</f>
        <v>0</v>
      </c>
      <c r="J259" s="17">
        <f t="shared" ref="J259:J322" si="19">IF(C259&lt;&gt;"",0,"")</f>
        <v>0</v>
      </c>
    </row>
    <row r="260" spans="1:10" ht="13.5" thickBot="1">
      <c r="A260" s="15" t="str">
        <f>IF('[1]R-2010'!H260&lt;&gt;"","07974082000114","")</f>
        <v>07974082000114</v>
      </c>
      <c r="B260" s="15" t="str">
        <f t="shared" si="16"/>
        <v>07974082000114</v>
      </c>
      <c r="C260" s="15" t="str">
        <f>IFERROR(TEXT(VALUE(SUBSTITUTE(SUBSTITUTE(SUBSTITUTE('[1]R-2010'!H260,".",""),"/",""),"-","")),"00000000000"),"")</f>
        <v>69374585000106</v>
      </c>
      <c r="D260" s="5">
        <f>IFERROR('[1]R-2010'!J260,"")</f>
        <v>45870</v>
      </c>
      <c r="E260" s="15" t="str">
        <f>""</f>
        <v/>
      </c>
      <c r="F260" s="15"/>
      <c r="G260" s="16">
        <f>IFERROR('[1]R-2010'!L260,"")</f>
        <v>559184.39</v>
      </c>
      <c r="H260" s="17">
        <f t="shared" si="17"/>
        <v>0</v>
      </c>
      <c r="I260" s="17">
        <f t="shared" si="18"/>
        <v>0</v>
      </c>
      <c r="J260" s="17">
        <f t="shared" si="19"/>
        <v>0</v>
      </c>
    </row>
    <row r="261" spans="1:10" ht="13.5" thickBot="1">
      <c r="A261" s="15" t="str">
        <f>IF('[1]R-2010'!H261&lt;&gt;"","07974082000114","")</f>
        <v>07974082000114</v>
      </c>
      <c r="B261" s="15" t="str">
        <f t="shared" si="16"/>
        <v>07974082000114</v>
      </c>
      <c r="C261" s="15" t="str">
        <f>IFERROR(TEXT(VALUE(SUBSTITUTE(SUBSTITUTE(SUBSTITUTE('[1]R-2010'!H261,".",""),"/",""),"-","")),"00000000000"),"")</f>
        <v>9170079000173</v>
      </c>
      <c r="D261" s="5">
        <f>IFERROR('[1]R-2010'!J261,"")</f>
        <v>45870</v>
      </c>
      <c r="E261" s="15" t="str">
        <f>""</f>
        <v/>
      </c>
      <c r="F261" s="15"/>
      <c r="G261" s="16">
        <f>IFERROR('[1]R-2010'!L261,"")</f>
        <v>22276.400000000001</v>
      </c>
      <c r="H261" s="17">
        <f t="shared" si="17"/>
        <v>0</v>
      </c>
      <c r="I261" s="17">
        <f t="shared" si="18"/>
        <v>0</v>
      </c>
      <c r="J261" s="17">
        <f t="shared" si="19"/>
        <v>0</v>
      </c>
    </row>
    <row r="262" spans="1:10" ht="13.5" thickBot="1">
      <c r="A262" s="15" t="str">
        <f>IF('[1]R-2010'!H262&lt;&gt;"","07974082000114","")</f>
        <v>07974082000114</v>
      </c>
      <c r="B262" s="15" t="str">
        <f t="shared" si="16"/>
        <v>07974082000114</v>
      </c>
      <c r="C262" s="15" t="str">
        <f>IFERROR(TEXT(VALUE(SUBSTITUTE(SUBSTITUTE(SUBSTITUTE('[1]R-2010'!H262,".",""),"/",""),"-","")),"00000000000"),"")</f>
        <v>16383848000187</v>
      </c>
      <c r="D262" s="5">
        <f>IFERROR('[1]R-2010'!J262,"")</f>
        <v>45870</v>
      </c>
      <c r="E262" s="15" t="str">
        <f>""</f>
        <v/>
      </c>
      <c r="F262" s="15"/>
      <c r="G262" s="16">
        <f>IFERROR('[1]R-2010'!L262,"")</f>
        <v>39987.18</v>
      </c>
      <c r="H262" s="17">
        <f t="shared" si="17"/>
        <v>0</v>
      </c>
      <c r="I262" s="17">
        <f t="shared" si="18"/>
        <v>0</v>
      </c>
      <c r="J262" s="17">
        <f t="shared" si="19"/>
        <v>0</v>
      </c>
    </row>
    <row r="263" spans="1:10" ht="13.5" thickBot="1">
      <c r="A263" s="15" t="str">
        <f>IF('[1]R-2010'!H263&lt;&gt;"","07974082000114","")</f>
        <v>07974082000114</v>
      </c>
      <c r="B263" s="15" t="str">
        <f t="shared" si="16"/>
        <v>07974082000114</v>
      </c>
      <c r="C263" s="15" t="str">
        <f>IFERROR(TEXT(VALUE(SUBSTITUTE(SUBSTITUTE(SUBSTITUTE('[1]R-2010'!H263,".",""),"/",""),"-","")),"00000000000"),"")</f>
        <v>15676890000123</v>
      </c>
      <c r="D263" s="5">
        <f>IFERROR('[1]R-2010'!J263,"")</f>
        <v>45870</v>
      </c>
      <c r="E263" s="15" t="str">
        <f>""</f>
        <v/>
      </c>
      <c r="F263" s="15"/>
      <c r="G263" s="16">
        <f>IFERROR('[1]R-2010'!L263,"")</f>
        <v>88258.05</v>
      </c>
      <c r="H263" s="17">
        <f t="shared" si="17"/>
        <v>0</v>
      </c>
      <c r="I263" s="17">
        <f t="shared" si="18"/>
        <v>0</v>
      </c>
      <c r="J263" s="17">
        <f t="shared" si="19"/>
        <v>0</v>
      </c>
    </row>
    <row r="264" spans="1:10" ht="13.5" thickBot="1">
      <c r="A264" s="15" t="str">
        <f>IF('[1]R-2010'!H264&lt;&gt;"","07974082000114","")</f>
        <v>07974082000114</v>
      </c>
      <c r="B264" s="15" t="str">
        <f t="shared" si="16"/>
        <v>07974082000114</v>
      </c>
      <c r="C264" s="15" t="str">
        <f>IFERROR(TEXT(VALUE(SUBSTITUTE(SUBSTITUTE(SUBSTITUTE('[1]R-2010'!H264,".",""),"/",""),"-","")),"00000000000"),"")</f>
        <v>30994850000113</v>
      </c>
      <c r="D264" s="5">
        <f>IFERROR('[1]R-2010'!J264,"")</f>
        <v>45870</v>
      </c>
      <c r="E264" s="15" t="str">
        <f>""</f>
        <v/>
      </c>
      <c r="F264" s="15"/>
      <c r="G264" s="16">
        <f>IFERROR('[1]R-2010'!L264,"")</f>
        <v>199691.14</v>
      </c>
      <c r="H264" s="17">
        <f t="shared" si="17"/>
        <v>0</v>
      </c>
      <c r="I264" s="17">
        <f t="shared" si="18"/>
        <v>0</v>
      </c>
      <c r="J264" s="17">
        <f t="shared" si="19"/>
        <v>0</v>
      </c>
    </row>
    <row r="265" spans="1:10" ht="13.5" thickBot="1">
      <c r="A265" s="15" t="str">
        <f>IF('[1]R-2010'!H265&lt;&gt;"","07974082000114","")</f>
        <v>07974082000114</v>
      </c>
      <c r="B265" s="15" t="str">
        <f t="shared" si="16"/>
        <v>07974082000114</v>
      </c>
      <c r="C265" s="15" t="str">
        <f>IFERROR(TEXT(VALUE(SUBSTITUTE(SUBSTITUTE(SUBSTITUTE('[1]R-2010'!H265,".",""),"/",""),"-","")),"00000000000"),"")</f>
        <v>30994850000113</v>
      </c>
      <c r="D265" s="5">
        <f>IFERROR('[1]R-2010'!J265,"")</f>
        <v>45870</v>
      </c>
      <c r="E265" s="15" t="str">
        <f>""</f>
        <v/>
      </c>
      <c r="F265" s="15"/>
      <c r="G265" s="16">
        <f>IFERROR('[1]R-2010'!L265,"")</f>
        <v>214284.15</v>
      </c>
      <c r="H265" s="17">
        <f t="shared" si="17"/>
        <v>0</v>
      </c>
      <c r="I265" s="17">
        <f t="shared" si="18"/>
        <v>0</v>
      </c>
      <c r="J265" s="17">
        <f t="shared" si="19"/>
        <v>0</v>
      </c>
    </row>
    <row r="266" spans="1:10" ht="13.5" thickBot="1">
      <c r="A266" s="15" t="str">
        <f>IF('[1]R-2010'!H266&lt;&gt;"","07974082000114","")</f>
        <v>07974082000114</v>
      </c>
      <c r="B266" s="15" t="str">
        <f t="shared" si="16"/>
        <v>07974082000114</v>
      </c>
      <c r="C266" s="15" t="str">
        <f>IFERROR(TEXT(VALUE(SUBSTITUTE(SUBSTITUTE(SUBSTITUTE('[1]R-2010'!H266,".",""),"/",""),"-","")),"00000000000"),"")</f>
        <v>24525971000113</v>
      </c>
      <c r="D266" s="5">
        <f>IFERROR('[1]R-2010'!J266,"")</f>
        <v>45870</v>
      </c>
      <c r="E266" s="15" t="str">
        <f>""</f>
        <v/>
      </c>
      <c r="F266" s="15"/>
      <c r="G266" s="16">
        <f>IFERROR('[1]R-2010'!L266,"")</f>
        <v>8624.07</v>
      </c>
      <c r="H266" s="17">
        <f t="shared" si="17"/>
        <v>0</v>
      </c>
      <c r="I266" s="17">
        <f t="shared" si="18"/>
        <v>0</v>
      </c>
      <c r="J266" s="17">
        <f t="shared" si="19"/>
        <v>0</v>
      </c>
    </row>
    <row r="267" spans="1:10" ht="13.5" thickBot="1">
      <c r="A267" s="15" t="str">
        <f>IF('[1]R-2010'!H267&lt;&gt;"","07974082000114","")</f>
        <v>07974082000114</v>
      </c>
      <c r="B267" s="15" t="str">
        <f t="shared" si="16"/>
        <v>07974082000114</v>
      </c>
      <c r="C267" s="15" t="str">
        <f>IFERROR(TEXT(VALUE(SUBSTITUTE(SUBSTITUTE(SUBSTITUTE('[1]R-2010'!H267,".",""),"/",""),"-","")),"00000000000"),"")</f>
        <v>30994850000113</v>
      </c>
      <c r="D267" s="5">
        <f>IFERROR('[1]R-2010'!J267,"")</f>
        <v>45901</v>
      </c>
      <c r="E267" s="15" t="str">
        <f>""</f>
        <v/>
      </c>
      <c r="F267" s="15"/>
      <c r="G267" s="16">
        <f>IFERROR('[1]R-2010'!L267,"")</f>
        <v>111775.45</v>
      </c>
      <c r="H267" s="17">
        <f t="shared" si="17"/>
        <v>0</v>
      </c>
      <c r="I267" s="17">
        <f t="shared" si="18"/>
        <v>0</v>
      </c>
      <c r="J267" s="17">
        <f t="shared" si="19"/>
        <v>0</v>
      </c>
    </row>
    <row r="268" spans="1:10" ht="13.5" thickBot="1">
      <c r="A268" s="15" t="str">
        <f>IF('[1]R-2010'!H268&lt;&gt;"","07974082000114","")</f>
        <v>07974082000114</v>
      </c>
      <c r="B268" s="15" t="str">
        <f t="shared" si="16"/>
        <v>07974082000114</v>
      </c>
      <c r="C268" s="15" t="str">
        <f>IFERROR(TEXT(VALUE(SUBSTITUTE(SUBSTITUTE(SUBSTITUTE('[1]R-2010'!H268,".",""),"/",""),"-","")),"00000000000"),"")</f>
        <v>22594152000100</v>
      </c>
      <c r="D268" s="5">
        <f>IFERROR('[1]R-2010'!J268,"")</f>
        <v>45901</v>
      </c>
      <c r="E268" s="15" t="str">
        <f>""</f>
        <v/>
      </c>
      <c r="F268" s="15"/>
      <c r="G268" s="16">
        <f>IFERROR('[1]R-2010'!L268,"")</f>
        <v>41250.230000000003</v>
      </c>
      <c r="H268" s="17">
        <f t="shared" si="17"/>
        <v>0</v>
      </c>
      <c r="I268" s="17">
        <f t="shared" si="18"/>
        <v>0</v>
      </c>
      <c r="J268" s="17">
        <f t="shared" si="19"/>
        <v>0</v>
      </c>
    </row>
    <row r="269" spans="1:10" ht="13.5" thickBot="1">
      <c r="A269" s="15" t="str">
        <f>IF('[1]R-2010'!H269&lt;&gt;"","07974082000114","")</f>
        <v>07974082000114</v>
      </c>
      <c r="B269" s="15" t="str">
        <f t="shared" si="16"/>
        <v>07974082000114</v>
      </c>
      <c r="C269" s="15" t="str">
        <f>IFERROR(TEXT(VALUE(SUBSTITUTE(SUBSTITUTE(SUBSTITUTE('[1]R-2010'!H269,".",""),"/",""),"-","")),"00000000000"),"")</f>
        <v>26287364000198</v>
      </c>
      <c r="D269" s="5">
        <f>IFERROR('[1]R-2010'!J269,"")</f>
        <v>45901</v>
      </c>
      <c r="E269" s="15" t="str">
        <f>""</f>
        <v/>
      </c>
      <c r="F269" s="15"/>
      <c r="G269" s="16">
        <f>IFERROR('[1]R-2010'!L269,"")</f>
        <v>481281</v>
      </c>
      <c r="H269" s="17">
        <f t="shared" si="17"/>
        <v>0</v>
      </c>
      <c r="I269" s="17">
        <f t="shared" si="18"/>
        <v>0</v>
      </c>
      <c r="J269" s="17">
        <f t="shared" si="19"/>
        <v>0</v>
      </c>
    </row>
    <row r="270" spans="1:10" ht="13.5" thickBot="1">
      <c r="A270" s="15" t="str">
        <f>IF('[1]R-2010'!H270&lt;&gt;"","07974082000114","")</f>
        <v>07974082000114</v>
      </c>
      <c r="B270" s="15" t="str">
        <f t="shared" si="16"/>
        <v>07974082000114</v>
      </c>
      <c r="C270" s="15" t="str">
        <f>IFERROR(TEXT(VALUE(SUBSTITUTE(SUBSTITUTE(SUBSTITUTE('[1]R-2010'!H270,".",""),"/",""),"-","")),"00000000000"),"")</f>
        <v>30994850000113</v>
      </c>
      <c r="D270" s="5">
        <f>IFERROR('[1]R-2010'!J270,"")</f>
        <v>45901</v>
      </c>
      <c r="E270" s="15" t="str">
        <f>""</f>
        <v/>
      </c>
      <c r="F270" s="15"/>
      <c r="G270" s="16">
        <f>IFERROR('[1]R-2010'!L270,"")</f>
        <v>300000</v>
      </c>
      <c r="H270" s="17">
        <f t="shared" si="17"/>
        <v>0</v>
      </c>
      <c r="I270" s="17">
        <f t="shared" si="18"/>
        <v>0</v>
      </c>
      <c r="J270" s="17">
        <f t="shared" si="19"/>
        <v>0</v>
      </c>
    </row>
    <row r="271" spans="1:10" ht="13.5" thickBot="1">
      <c r="A271" s="15" t="str">
        <f>IF('[1]R-2010'!H271&lt;&gt;"","07974082000114","")</f>
        <v>07974082000114</v>
      </c>
      <c r="B271" s="15" t="str">
        <f t="shared" si="16"/>
        <v>07974082000114</v>
      </c>
      <c r="C271" s="15" t="str">
        <f>IFERROR(TEXT(VALUE(SUBSTITUTE(SUBSTITUTE(SUBSTITUTE('[1]R-2010'!H271,".",""),"/",""),"-","")),"00000000000"),"")</f>
        <v>18413043000164</v>
      </c>
      <c r="D271" s="5">
        <f>IFERROR('[1]R-2010'!J271,"")</f>
        <v>45901</v>
      </c>
      <c r="E271" s="15" t="str">
        <f>""</f>
        <v/>
      </c>
      <c r="F271" s="15"/>
      <c r="G271" s="16">
        <f>IFERROR('[1]R-2010'!L271,"")</f>
        <v>794906.89</v>
      </c>
      <c r="H271" s="17">
        <f t="shared" si="17"/>
        <v>0</v>
      </c>
      <c r="I271" s="17">
        <f t="shared" si="18"/>
        <v>0</v>
      </c>
      <c r="J271" s="17">
        <f t="shared" si="19"/>
        <v>0</v>
      </c>
    </row>
    <row r="272" spans="1:10" ht="13.5" thickBot="1">
      <c r="A272" s="15" t="str">
        <f>IF('[1]R-2010'!H272&lt;&gt;"","07974082000114","")</f>
        <v>07974082000114</v>
      </c>
      <c r="B272" s="15" t="str">
        <f t="shared" si="16"/>
        <v>07974082000114</v>
      </c>
      <c r="C272" s="15" t="str">
        <f>IFERROR(TEXT(VALUE(SUBSTITUTE(SUBSTITUTE(SUBSTITUTE('[1]R-2010'!H272,".",""),"/",""),"-","")),"00000000000"),"")</f>
        <v>41332445000156</v>
      </c>
      <c r="D272" s="5">
        <f>IFERROR('[1]R-2010'!J272,"")</f>
        <v>45901</v>
      </c>
      <c r="E272" s="15" t="str">
        <f>""</f>
        <v/>
      </c>
      <c r="F272" s="15"/>
      <c r="G272" s="16">
        <f>IFERROR('[1]R-2010'!L272,"")</f>
        <v>71879.92</v>
      </c>
      <c r="H272" s="17">
        <f t="shared" si="17"/>
        <v>0</v>
      </c>
      <c r="I272" s="17">
        <f t="shared" si="18"/>
        <v>0</v>
      </c>
      <c r="J272" s="17">
        <f t="shared" si="19"/>
        <v>0</v>
      </c>
    </row>
    <row r="273" spans="1:10" ht="13.5" thickBot="1">
      <c r="A273" s="15" t="str">
        <f>IF('[1]R-2010'!H273&lt;&gt;"","07974082000114","")</f>
        <v>07974082000114</v>
      </c>
      <c r="B273" s="15" t="str">
        <f t="shared" si="16"/>
        <v>07974082000114</v>
      </c>
      <c r="C273" s="15" t="str">
        <f>IFERROR(TEXT(VALUE(SUBSTITUTE(SUBSTITUTE(SUBSTITUTE('[1]R-2010'!H273,".",""),"/",""),"-","")),"00000000000"),"")</f>
        <v>19125143000158</v>
      </c>
      <c r="D273" s="5">
        <f>IFERROR('[1]R-2010'!J273,"")</f>
        <v>45901</v>
      </c>
      <c r="E273" s="15" t="str">
        <f>""</f>
        <v/>
      </c>
      <c r="F273" s="15"/>
      <c r="G273" s="16">
        <f>IFERROR('[1]R-2010'!L273,"")</f>
        <v>65000</v>
      </c>
      <c r="H273" s="17">
        <f t="shared" si="17"/>
        <v>0</v>
      </c>
      <c r="I273" s="17">
        <f t="shared" si="18"/>
        <v>0</v>
      </c>
      <c r="J273" s="17">
        <f t="shared" si="19"/>
        <v>0</v>
      </c>
    </row>
    <row r="274" spans="1:10" ht="13.5" thickBot="1">
      <c r="A274" s="15" t="str">
        <f>IF('[1]R-2010'!H274&lt;&gt;"","07974082000114","")</f>
        <v>07974082000114</v>
      </c>
      <c r="B274" s="15" t="str">
        <f t="shared" si="16"/>
        <v>07974082000114</v>
      </c>
      <c r="C274" s="15" t="str">
        <f>IFERROR(TEXT(VALUE(SUBSTITUTE(SUBSTITUTE(SUBSTITUTE('[1]R-2010'!H274,".",""),"/",""),"-","")),"00000000000"),"")</f>
        <v>33921755000188</v>
      </c>
      <c r="D274" s="5">
        <f>IFERROR('[1]R-2010'!J274,"")</f>
        <v>45901</v>
      </c>
      <c r="E274" s="15" t="str">
        <f>""</f>
        <v/>
      </c>
      <c r="F274" s="15"/>
      <c r="G274" s="16">
        <f>IFERROR('[1]R-2010'!L274,"")</f>
        <v>4700</v>
      </c>
      <c r="H274" s="17">
        <f t="shared" si="17"/>
        <v>0</v>
      </c>
      <c r="I274" s="17">
        <f t="shared" si="18"/>
        <v>0</v>
      </c>
      <c r="J274" s="17">
        <f t="shared" si="19"/>
        <v>0</v>
      </c>
    </row>
    <row r="275" spans="1:10" ht="13.5" thickBot="1">
      <c r="A275" s="15" t="str">
        <f>IF('[1]R-2010'!H275&lt;&gt;"","07974082000114","")</f>
        <v>07974082000114</v>
      </c>
      <c r="B275" s="15" t="str">
        <f t="shared" si="16"/>
        <v>07974082000114</v>
      </c>
      <c r="C275" s="15" t="str">
        <f>IFERROR(TEXT(VALUE(SUBSTITUTE(SUBSTITUTE(SUBSTITUTE('[1]R-2010'!H275,".",""),"/",""),"-","")),"00000000000"),"")</f>
        <v>27298172000140</v>
      </c>
      <c r="D275" s="5">
        <f>IFERROR('[1]R-2010'!J275,"")</f>
        <v>45901</v>
      </c>
      <c r="E275" s="15" t="str">
        <f>""</f>
        <v/>
      </c>
      <c r="F275" s="15"/>
      <c r="G275" s="16">
        <f>IFERROR('[1]R-2010'!L275,"")</f>
        <v>11920</v>
      </c>
      <c r="H275" s="17">
        <f t="shared" si="17"/>
        <v>0</v>
      </c>
      <c r="I275" s="17">
        <f t="shared" si="18"/>
        <v>0</v>
      </c>
      <c r="J275" s="17">
        <f t="shared" si="19"/>
        <v>0</v>
      </c>
    </row>
    <row r="276" spans="1:10" ht="13.5" thickBot="1">
      <c r="A276" s="15" t="str">
        <f>IF('[1]R-2010'!H276&lt;&gt;"","07974082000114","")</f>
        <v>07974082000114</v>
      </c>
      <c r="B276" s="15" t="str">
        <f t="shared" si="16"/>
        <v>07974082000114</v>
      </c>
      <c r="C276" s="15" t="str">
        <f>IFERROR(TEXT(VALUE(SUBSTITUTE(SUBSTITUTE(SUBSTITUTE('[1]R-2010'!H276,".",""),"/",""),"-","")),"00000000000"),"")</f>
        <v>27298172000140</v>
      </c>
      <c r="D276" s="5">
        <f>IFERROR('[1]R-2010'!J276,"")</f>
        <v>45901</v>
      </c>
      <c r="E276" s="15" t="str">
        <f>""</f>
        <v/>
      </c>
      <c r="F276" s="15"/>
      <c r="G276" s="16">
        <f>IFERROR('[1]R-2010'!L276,"")</f>
        <v>71060</v>
      </c>
      <c r="H276" s="17">
        <f t="shared" si="17"/>
        <v>0</v>
      </c>
      <c r="I276" s="17">
        <f t="shared" si="18"/>
        <v>0</v>
      </c>
      <c r="J276" s="17">
        <f t="shared" si="19"/>
        <v>0</v>
      </c>
    </row>
    <row r="277" spans="1:10" ht="13.5" thickBot="1">
      <c r="A277" s="15" t="str">
        <f>IF('[1]R-2010'!H277&lt;&gt;"","07974082000114","")</f>
        <v>07974082000114</v>
      </c>
      <c r="B277" s="15" t="str">
        <f t="shared" si="16"/>
        <v>07974082000114</v>
      </c>
      <c r="C277" s="15" t="str">
        <f>IFERROR(TEXT(VALUE(SUBSTITUTE(SUBSTITUTE(SUBSTITUTE('[1]R-2010'!H277,".",""),"/",""),"-","")),"00000000000"),"")</f>
        <v>4238951000154</v>
      </c>
      <c r="D277" s="5">
        <f>IFERROR('[1]R-2010'!J277,"")</f>
        <v>45901</v>
      </c>
      <c r="E277" s="15" t="str">
        <f>""</f>
        <v/>
      </c>
      <c r="F277" s="15"/>
      <c r="G277" s="16">
        <f>IFERROR('[1]R-2010'!L277,"")</f>
        <v>19500</v>
      </c>
      <c r="H277" s="17">
        <f t="shared" si="17"/>
        <v>0</v>
      </c>
      <c r="I277" s="17">
        <f t="shared" si="18"/>
        <v>0</v>
      </c>
      <c r="J277" s="17">
        <f t="shared" si="19"/>
        <v>0</v>
      </c>
    </row>
    <row r="278" spans="1:10" ht="13.5" thickBot="1">
      <c r="A278" s="15" t="str">
        <f>IF('[1]R-2010'!H278&lt;&gt;"","07974082000114","")</f>
        <v>07974082000114</v>
      </c>
      <c r="B278" s="15" t="str">
        <f t="shared" si="16"/>
        <v>07974082000114</v>
      </c>
      <c r="C278" s="15" t="str">
        <f>IFERROR(TEXT(VALUE(SUBSTITUTE(SUBSTITUTE(SUBSTITUTE('[1]R-2010'!H278,".",""),"/",""),"-","")),"00000000000"),"")</f>
        <v>24525971000113</v>
      </c>
      <c r="D278" s="5">
        <f>IFERROR('[1]R-2010'!J278,"")</f>
        <v>45901</v>
      </c>
      <c r="E278" s="15" t="str">
        <f>""</f>
        <v/>
      </c>
      <c r="F278" s="15"/>
      <c r="G278" s="16">
        <f>IFERROR('[1]R-2010'!L278,"")</f>
        <v>33788.660000000003</v>
      </c>
      <c r="H278" s="17">
        <f t="shared" si="17"/>
        <v>0</v>
      </c>
      <c r="I278" s="17">
        <f t="shared" si="18"/>
        <v>0</v>
      </c>
      <c r="J278" s="17">
        <f t="shared" si="19"/>
        <v>0</v>
      </c>
    </row>
    <row r="279" spans="1:10" ht="13.5" thickBot="1">
      <c r="A279" s="15" t="str">
        <f>IF('[1]R-2010'!H279&lt;&gt;"","07974082000114","")</f>
        <v>07974082000114</v>
      </c>
      <c r="B279" s="15" t="str">
        <f t="shared" si="16"/>
        <v>07974082000114</v>
      </c>
      <c r="C279" s="15" t="str">
        <f>IFERROR(TEXT(VALUE(SUBSTITUTE(SUBSTITUTE(SUBSTITUTE('[1]R-2010'!H279,".",""),"/",""),"-","")),"00000000000"),"")</f>
        <v>15676890000123</v>
      </c>
      <c r="D279" s="5">
        <f>IFERROR('[1]R-2010'!J279,"")</f>
        <v>45901</v>
      </c>
      <c r="E279" s="15" t="str">
        <f>""</f>
        <v/>
      </c>
      <c r="F279" s="15"/>
      <c r="G279" s="16">
        <f>IFERROR('[1]R-2010'!L279,"")</f>
        <v>91912.05</v>
      </c>
      <c r="H279" s="17">
        <f t="shared" si="17"/>
        <v>0</v>
      </c>
      <c r="I279" s="17">
        <f t="shared" si="18"/>
        <v>0</v>
      </c>
      <c r="J279" s="17">
        <f t="shared" si="19"/>
        <v>0</v>
      </c>
    </row>
    <row r="280" spans="1:10" ht="13.5" thickBot="1">
      <c r="A280" s="15" t="str">
        <f>IF('[1]R-2010'!H280&lt;&gt;"","07974082000114","")</f>
        <v>07974082000114</v>
      </c>
      <c r="B280" s="15" t="str">
        <f t="shared" si="16"/>
        <v>07974082000114</v>
      </c>
      <c r="C280" s="15" t="str">
        <f>IFERROR(TEXT(VALUE(SUBSTITUTE(SUBSTITUTE(SUBSTITUTE('[1]R-2010'!H280,".",""),"/",""),"-","")),"00000000000"),"")</f>
        <v>3420933000126</v>
      </c>
      <c r="D280" s="5">
        <f>IFERROR('[1]R-2010'!J280,"")</f>
        <v>45901</v>
      </c>
      <c r="E280" s="15" t="str">
        <f>""</f>
        <v/>
      </c>
      <c r="F280" s="15"/>
      <c r="G280" s="16">
        <f>IFERROR('[1]R-2010'!L280,"")</f>
        <v>474.7</v>
      </c>
      <c r="H280" s="17">
        <f t="shared" si="17"/>
        <v>0</v>
      </c>
      <c r="I280" s="17">
        <f t="shared" si="18"/>
        <v>0</v>
      </c>
      <c r="J280" s="17">
        <f t="shared" si="19"/>
        <v>0</v>
      </c>
    </row>
    <row r="281" spans="1:10" ht="13.5" thickBot="1">
      <c r="A281" s="15" t="str">
        <f>IF('[1]R-2010'!H281&lt;&gt;"","07974082000114","")</f>
        <v>07974082000114</v>
      </c>
      <c r="B281" s="15" t="str">
        <f t="shared" si="16"/>
        <v>07974082000114</v>
      </c>
      <c r="C281" s="15" t="str">
        <f>IFERROR(TEXT(VALUE(SUBSTITUTE(SUBSTITUTE(SUBSTITUTE('[1]R-2010'!H281,".",""),"/",""),"-","")),"00000000000"),"")</f>
        <v>3420933000126</v>
      </c>
      <c r="D281" s="5">
        <f>IFERROR('[1]R-2010'!J281,"")</f>
        <v>45901</v>
      </c>
      <c r="E281" s="15" t="str">
        <f>""</f>
        <v/>
      </c>
      <c r="F281" s="15"/>
      <c r="G281" s="16">
        <f>IFERROR('[1]R-2010'!L281,"")</f>
        <v>474.7</v>
      </c>
      <c r="H281" s="17">
        <f t="shared" si="17"/>
        <v>0</v>
      </c>
      <c r="I281" s="17">
        <f t="shared" si="18"/>
        <v>0</v>
      </c>
      <c r="J281" s="17">
        <f t="shared" si="19"/>
        <v>0</v>
      </c>
    </row>
    <row r="282" spans="1:10" ht="13.5" thickBot="1">
      <c r="A282" s="15" t="str">
        <f>IF('[1]R-2010'!H282&lt;&gt;"","07974082000114","")</f>
        <v>07974082000114</v>
      </c>
      <c r="B282" s="15" t="str">
        <f t="shared" si="16"/>
        <v>07974082000114</v>
      </c>
      <c r="C282" s="15" t="str">
        <f>IFERROR(TEXT(VALUE(SUBSTITUTE(SUBSTITUTE(SUBSTITUTE('[1]R-2010'!H282,".",""),"/",""),"-","")),"00000000000"),"")</f>
        <v>3420933000126</v>
      </c>
      <c r="D282" s="5">
        <f>IFERROR('[1]R-2010'!J282,"")</f>
        <v>45901</v>
      </c>
      <c r="E282" s="15" t="str">
        <f>""</f>
        <v/>
      </c>
      <c r="F282" s="15"/>
      <c r="G282" s="16">
        <f>IFERROR('[1]R-2010'!L282,"")</f>
        <v>1052.58</v>
      </c>
      <c r="H282" s="17">
        <f t="shared" si="17"/>
        <v>0</v>
      </c>
      <c r="I282" s="17">
        <f t="shared" si="18"/>
        <v>0</v>
      </c>
      <c r="J282" s="17">
        <f t="shared" si="19"/>
        <v>0</v>
      </c>
    </row>
    <row r="283" spans="1:10" ht="13.5" thickBot="1">
      <c r="A283" s="15" t="str">
        <f>IF('[1]R-2010'!H283&lt;&gt;"","07974082000114","")</f>
        <v>07974082000114</v>
      </c>
      <c r="B283" s="15" t="str">
        <f t="shared" si="16"/>
        <v>07974082000114</v>
      </c>
      <c r="C283" s="15" t="str">
        <f>IFERROR(TEXT(VALUE(SUBSTITUTE(SUBSTITUTE(SUBSTITUTE('[1]R-2010'!H283,".",""),"/",""),"-","")),"00000000000"),"")</f>
        <v>3420933000126</v>
      </c>
      <c r="D283" s="5">
        <f>IFERROR('[1]R-2010'!J283,"")</f>
        <v>45901</v>
      </c>
      <c r="E283" s="15" t="str">
        <f>""</f>
        <v/>
      </c>
      <c r="F283" s="15"/>
      <c r="G283" s="16">
        <f>IFERROR('[1]R-2010'!L283,"")</f>
        <v>1764.63</v>
      </c>
      <c r="H283" s="17">
        <f t="shared" si="17"/>
        <v>0</v>
      </c>
      <c r="I283" s="17">
        <f t="shared" si="18"/>
        <v>0</v>
      </c>
      <c r="J283" s="17">
        <f t="shared" si="19"/>
        <v>0</v>
      </c>
    </row>
    <row r="284" spans="1:10" ht="13.5" thickBot="1">
      <c r="A284" s="15" t="str">
        <f>IF('[1]R-2010'!H284&lt;&gt;"","07974082000114","")</f>
        <v>07974082000114</v>
      </c>
      <c r="B284" s="15" t="str">
        <f t="shared" si="16"/>
        <v>07974082000114</v>
      </c>
      <c r="C284" s="15" t="str">
        <f>IFERROR(TEXT(VALUE(SUBSTITUTE(SUBSTITUTE(SUBSTITUTE('[1]R-2010'!H284,".",""),"/",""),"-","")),"00000000000"),"")</f>
        <v>3420933000126</v>
      </c>
      <c r="D284" s="5">
        <f>IFERROR('[1]R-2010'!J284,"")</f>
        <v>45901</v>
      </c>
      <c r="E284" s="15" t="str">
        <f>""</f>
        <v/>
      </c>
      <c r="F284" s="15"/>
      <c r="G284" s="16">
        <f>IFERROR('[1]R-2010'!L284,"")</f>
        <v>5828.27</v>
      </c>
      <c r="H284" s="17">
        <f t="shared" si="17"/>
        <v>0</v>
      </c>
      <c r="I284" s="17">
        <f t="shared" si="18"/>
        <v>0</v>
      </c>
      <c r="J284" s="17">
        <f t="shared" si="19"/>
        <v>0</v>
      </c>
    </row>
    <row r="285" spans="1:10" ht="13.5" thickBot="1">
      <c r="A285" s="15" t="str">
        <f>IF('[1]R-2010'!H285&lt;&gt;"","07974082000114","")</f>
        <v>07974082000114</v>
      </c>
      <c r="B285" s="15" t="str">
        <f t="shared" si="16"/>
        <v>07974082000114</v>
      </c>
      <c r="C285" s="15" t="str">
        <f>IFERROR(TEXT(VALUE(SUBSTITUTE(SUBSTITUTE(SUBSTITUTE('[1]R-2010'!H285,".",""),"/",""),"-","")),"00000000000"),"")</f>
        <v>3420933000126</v>
      </c>
      <c r="D285" s="5">
        <f>IFERROR('[1]R-2010'!J285,"")</f>
        <v>45901</v>
      </c>
      <c r="E285" s="15" t="str">
        <f>""</f>
        <v/>
      </c>
      <c r="F285" s="15"/>
      <c r="G285" s="16">
        <f>IFERROR('[1]R-2010'!L285,"")</f>
        <v>6182.03</v>
      </c>
      <c r="H285" s="17">
        <f t="shared" si="17"/>
        <v>0</v>
      </c>
      <c r="I285" s="17">
        <f t="shared" si="18"/>
        <v>0</v>
      </c>
      <c r="J285" s="17">
        <f t="shared" si="19"/>
        <v>0</v>
      </c>
    </row>
    <row r="286" spans="1:10" ht="13.5" thickBot="1">
      <c r="A286" s="15" t="str">
        <f>IF('[1]R-2010'!H286&lt;&gt;"","07974082000114","")</f>
        <v>07974082000114</v>
      </c>
      <c r="B286" s="15" t="str">
        <f t="shared" si="16"/>
        <v>07974082000114</v>
      </c>
      <c r="C286" s="15" t="str">
        <f>IFERROR(TEXT(VALUE(SUBSTITUTE(SUBSTITUTE(SUBSTITUTE('[1]R-2010'!H286,".",""),"/",""),"-","")),"00000000000"),"")</f>
        <v>3420933000126</v>
      </c>
      <c r="D286" s="5">
        <f>IFERROR('[1]R-2010'!J286,"")</f>
        <v>45901</v>
      </c>
      <c r="E286" s="15" t="str">
        <f>""</f>
        <v/>
      </c>
      <c r="F286" s="15"/>
      <c r="G286" s="16">
        <f>IFERROR('[1]R-2010'!L286,"")</f>
        <v>6359.03</v>
      </c>
      <c r="H286" s="17">
        <f t="shared" si="17"/>
        <v>0</v>
      </c>
      <c r="I286" s="17">
        <f t="shared" si="18"/>
        <v>0</v>
      </c>
      <c r="J286" s="17">
        <f t="shared" si="19"/>
        <v>0</v>
      </c>
    </row>
    <row r="287" spans="1:10" ht="13.5" thickBot="1">
      <c r="A287" s="15" t="str">
        <f>IF('[1]R-2010'!H287&lt;&gt;"","07974082000114","")</f>
        <v>07974082000114</v>
      </c>
      <c r="B287" s="15" t="str">
        <f t="shared" si="16"/>
        <v>07974082000114</v>
      </c>
      <c r="C287" s="15" t="str">
        <f>IFERROR(TEXT(VALUE(SUBSTITUTE(SUBSTITUTE(SUBSTITUTE('[1]R-2010'!H287,".",""),"/",""),"-","")),"00000000000"),"")</f>
        <v>3420933000126</v>
      </c>
      <c r="D287" s="5">
        <f>IFERROR('[1]R-2010'!J287,"")</f>
        <v>45901</v>
      </c>
      <c r="E287" s="15" t="str">
        <f>""</f>
        <v/>
      </c>
      <c r="F287" s="15"/>
      <c r="G287" s="16">
        <f>IFERROR('[1]R-2010'!L287,"")</f>
        <v>6359.03</v>
      </c>
      <c r="H287" s="17">
        <f t="shared" si="17"/>
        <v>0</v>
      </c>
      <c r="I287" s="17">
        <f t="shared" si="18"/>
        <v>0</v>
      </c>
      <c r="J287" s="17">
        <f t="shared" si="19"/>
        <v>0</v>
      </c>
    </row>
    <row r="288" spans="1:10" ht="13.5" thickBot="1">
      <c r="A288" s="15" t="str">
        <f>IF('[1]R-2010'!H288&lt;&gt;"","07974082000114","")</f>
        <v>07974082000114</v>
      </c>
      <c r="B288" s="15" t="str">
        <f t="shared" si="16"/>
        <v>07974082000114</v>
      </c>
      <c r="C288" s="15" t="str">
        <f>IFERROR(TEXT(VALUE(SUBSTITUTE(SUBSTITUTE(SUBSTITUTE('[1]R-2010'!H288,".",""),"/",""),"-","")),"00000000000"),"")</f>
        <v>3420933000126</v>
      </c>
      <c r="D288" s="5">
        <f>IFERROR('[1]R-2010'!J288,"")</f>
        <v>45901</v>
      </c>
      <c r="E288" s="15" t="str">
        <f>""</f>
        <v/>
      </c>
      <c r="F288" s="15"/>
      <c r="G288" s="16">
        <f>IFERROR('[1]R-2010'!L288,"")</f>
        <v>22620</v>
      </c>
      <c r="H288" s="17">
        <f t="shared" si="17"/>
        <v>0</v>
      </c>
      <c r="I288" s="17">
        <f t="shared" si="18"/>
        <v>0</v>
      </c>
      <c r="J288" s="17">
        <f t="shared" si="19"/>
        <v>0</v>
      </c>
    </row>
    <row r="289" spans="1:10" ht="13.5" thickBot="1">
      <c r="A289" s="15" t="str">
        <f>IF('[1]R-2010'!H289&lt;&gt;"","07974082000114","")</f>
        <v>07974082000114</v>
      </c>
      <c r="B289" s="15" t="str">
        <f t="shared" si="16"/>
        <v>07974082000114</v>
      </c>
      <c r="C289" s="15" t="str">
        <f>IFERROR(TEXT(VALUE(SUBSTITUTE(SUBSTITUTE(SUBSTITUTE('[1]R-2010'!H289,".",""),"/",""),"-","")),"00000000000"),"")</f>
        <v>3420933000126</v>
      </c>
      <c r="D289" s="5">
        <f>IFERROR('[1]R-2010'!J289,"")</f>
        <v>45901</v>
      </c>
      <c r="E289" s="15" t="str">
        <f>""</f>
        <v/>
      </c>
      <c r="F289" s="15"/>
      <c r="G289" s="16">
        <f>IFERROR('[1]R-2010'!L289,"")</f>
        <v>22620</v>
      </c>
      <c r="H289" s="17">
        <f t="shared" si="17"/>
        <v>0</v>
      </c>
      <c r="I289" s="17">
        <f t="shared" si="18"/>
        <v>0</v>
      </c>
      <c r="J289" s="17">
        <f t="shared" si="19"/>
        <v>0</v>
      </c>
    </row>
    <row r="290" spans="1:10" ht="13.5" thickBot="1">
      <c r="A290" s="15" t="str">
        <f>IF('[1]R-2010'!H290&lt;&gt;"","07974082000114","")</f>
        <v>07974082000114</v>
      </c>
      <c r="B290" s="15" t="str">
        <f t="shared" si="16"/>
        <v>07974082000114</v>
      </c>
      <c r="C290" s="15" t="str">
        <f>IFERROR(TEXT(VALUE(SUBSTITUTE(SUBSTITUTE(SUBSTITUTE('[1]R-2010'!H290,".",""),"/",""),"-","")),"00000000000"),"")</f>
        <v>3420933000126</v>
      </c>
      <c r="D290" s="5">
        <f>IFERROR('[1]R-2010'!J290,"")</f>
        <v>45901</v>
      </c>
      <c r="E290" s="15" t="str">
        <f>""</f>
        <v/>
      </c>
      <c r="F290" s="15"/>
      <c r="G290" s="16">
        <f>IFERROR('[1]R-2010'!L290,"")</f>
        <v>28547.24</v>
      </c>
      <c r="H290" s="17">
        <f t="shared" si="17"/>
        <v>0</v>
      </c>
      <c r="I290" s="17">
        <f t="shared" si="18"/>
        <v>0</v>
      </c>
      <c r="J290" s="17">
        <f t="shared" si="19"/>
        <v>0</v>
      </c>
    </row>
    <row r="291" spans="1:10" ht="13.5" thickBot="1">
      <c r="A291" s="15" t="str">
        <f>IF('[1]R-2010'!H291&lt;&gt;"","07974082000114","")</f>
        <v>07974082000114</v>
      </c>
      <c r="B291" s="15" t="str">
        <f t="shared" si="16"/>
        <v>07974082000114</v>
      </c>
      <c r="C291" s="15" t="str">
        <f>IFERROR(TEXT(VALUE(SUBSTITUTE(SUBSTITUTE(SUBSTITUTE('[1]R-2010'!H291,".",""),"/",""),"-","")),"00000000000"),"")</f>
        <v>3420933000126</v>
      </c>
      <c r="D291" s="5">
        <f>IFERROR('[1]R-2010'!J291,"")</f>
        <v>45901</v>
      </c>
      <c r="E291" s="15" t="str">
        <f>""</f>
        <v/>
      </c>
      <c r="F291" s="15"/>
      <c r="G291" s="16">
        <f>IFERROR('[1]R-2010'!L291,"")</f>
        <v>28547.24</v>
      </c>
      <c r="H291" s="17">
        <f t="shared" si="17"/>
        <v>0</v>
      </c>
      <c r="I291" s="17">
        <f t="shared" si="18"/>
        <v>0</v>
      </c>
      <c r="J291" s="17">
        <f t="shared" si="19"/>
        <v>0</v>
      </c>
    </row>
    <row r="292" spans="1:10" ht="13.5" thickBot="1">
      <c r="A292" s="15" t="str">
        <f>IF('[1]R-2010'!H292&lt;&gt;"","07974082000114","")</f>
        <v>07974082000114</v>
      </c>
      <c r="B292" s="15" t="str">
        <f t="shared" si="16"/>
        <v>07974082000114</v>
      </c>
      <c r="C292" s="15" t="str">
        <f>IFERROR(TEXT(VALUE(SUBSTITUTE(SUBSTITUTE(SUBSTITUTE('[1]R-2010'!H292,".",""),"/",""),"-","")),"00000000000"),"")</f>
        <v>3420933000126</v>
      </c>
      <c r="D292" s="5">
        <f>IFERROR('[1]R-2010'!J292,"")</f>
        <v>45901</v>
      </c>
      <c r="E292" s="15" t="str">
        <f>""</f>
        <v/>
      </c>
      <c r="F292" s="15"/>
      <c r="G292" s="16">
        <f>IFERROR('[1]R-2010'!L292,"")</f>
        <v>30292.69</v>
      </c>
      <c r="H292" s="17">
        <f t="shared" si="17"/>
        <v>0</v>
      </c>
      <c r="I292" s="17">
        <f t="shared" si="18"/>
        <v>0</v>
      </c>
      <c r="J292" s="17">
        <f t="shared" si="19"/>
        <v>0</v>
      </c>
    </row>
    <row r="293" spans="1:10" ht="13.5" thickBot="1">
      <c r="A293" s="15" t="str">
        <f>IF('[1]R-2010'!H293&lt;&gt;"","07974082000114","")</f>
        <v>07974082000114</v>
      </c>
      <c r="B293" s="15" t="str">
        <f t="shared" si="16"/>
        <v>07974082000114</v>
      </c>
      <c r="C293" s="15" t="str">
        <f>IFERROR(TEXT(VALUE(SUBSTITUTE(SUBSTITUTE(SUBSTITUTE('[1]R-2010'!H293,".",""),"/",""),"-","")),"00000000000"),"")</f>
        <v>2130122000128</v>
      </c>
      <c r="D293" s="5">
        <f>IFERROR('[1]R-2010'!J293,"")</f>
        <v>45901</v>
      </c>
      <c r="E293" s="15" t="str">
        <f>""</f>
        <v/>
      </c>
      <c r="F293" s="15"/>
      <c r="G293" s="16">
        <f>IFERROR('[1]R-2010'!L293,"")</f>
        <v>1150</v>
      </c>
      <c r="H293" s="17">
        <f t="shared" si="17"/>
        <v>0</v>
      </c>
      <c r="I293" s="17">
        <f t="shared" si="18"/>
        <v>0</v>
      </c>
      <c r="J293" s="17">
        <f t="shared" si="19"/>
        <v>0</v>
      </c>
    </row>
    <row r="294" spans="1:10" ht="13.5" thickBot="1">
      <c r="A294" s="15" t="str">
        <f>IF('[1]R-2010'!H294&lt;&gt;"","07974082000114","")</f>
        <v>07974082000114</v>
      </c>
      <c r="B294" s="15" t="str">
        <f t="shared" si="16"/>
        <v>07974082000114</v>
      </c>
      <c r="C294" s="15" t="str">
        <f>IFERROR(TEXT(VALUE(SUBSTITUTE(SUBSTITUTE(SUBSTITUTE('[1]R-2010'!H294,".",""),"/",""),"-","")),"00000000000"),"")</f>
        <v>2130122000128</v>
      </c>
      <c r="D294" s="5">
        <f>IFERROR('[1]R-2010'!J294,"")</f>
        <v>45901</v>
      </c>
      <c r="E294" s="15" t="str">
        <f>""</f>
        <v/>
      </c>
      <c r="F294" s="15"/>
      <c r="G294" s="16">
        <f>IFERROR('[1]R-2010'!L294,"")</f>
        <v>1150</v>
      </c>
      <c r="H294" s="17">
        <f t="shared" si="17"/>
        <v>0</v>
      </c>
      <c r="I294" s="17">
        <f t="shared" si="18"/>
        <v>0</v>
      </c>
      <c r="J294" s="17">
        <f t="shared" si="19"/>
        <v>0</v>
      </c>
    </row>
    <row r="295" spans="1:10" ht="13.5" thickBot="1">
      <c r="A295" s="15" t="str">
        <f>IF('[1]R-2010'!H295&lt;&gt;"","07974082000114","")</f>
        <v>07974082000114</v>
      </c>
      <c r="B295" s="15" t="str">
        <f t="shared" si="16"/>
        <v>07974082000114</v>
      </c>
      <c r="C295" s="15" t="str">
        <f>IFERROR(TEXT(VALUE(SUBSTITUTE(SUBSTITUTE(SUBSTITUTE('[1]R-2010'!H295,".",""),"/",""),"-","")),"00000000000"),"")</f>
        <v>2130122000128</v>
      </c>
      <c r="D295" s="5">
        <f>IFERROR('[1]R-2010'!J295,"")</f>
        <v>45901</v>
      </c>
      <c r="E295" s="15" t="str">
        <f>""</f>
        <v/>
      </c>
      <c r="F295" s="15"/>
      <c r="G295" s="16">
        <f>IFERROR('[1]R-2010'!L295,"")</f>
        <v>1150</v>
      </c>
      <c r="H295" s="17">
        <f t="shared" si="17"/>
        <v>0</v>
      </c>
      <c r="I295" s="17">
        <f t="shared" si="18"/>
        <v>0</v>
      </c>
      <c r="J295" s="17">
        <f t="shared" si="19"/>
        <v>0</v>
      </c>
    </row>
    <row r="296" spans="1:10" ht="13.5" thickBot="1">
      <c r="A296" s="15" t="str">
        <f>IF('[1]R-2010'!H296&lt;&gt;"","07974082000114","")</f>
        <v>07974082000114</v>
      </c>
      <c r="B296" s="15" t="str">
        <f t="shared" si="16"/>
        <v>07974082000114</v>
      </c>
      <c r="C296" s="15" t="str">
        <f>IFERROR(TEXT(VALUE(SUBSTITUTE(SUBSTITUTE(SUBSTITUTE('[1]R-2010'!H296,".",""),"/",""),"-","")),"00000000000"),"")</f>
        <v>24525971000113</v>
      </c>
      <c r="D296" s="5">
        <f>IFERROR('[1]R-2010'!J296,"")</f>
        <v>45901</v>
      </c>
      <c r="E296" s="15" t="str">
        <f>""</f>
        <v/>
      </c>
      <c r="F296" s="15"/>
      <c r="G296" s="16">
        <f>IFERROR('[1]R-2010'!L296,"")</f>
        <v>8447.17</v>
      </c>
      <c r="H296" s="17">
        <f t="shared" si="17"/>
        <v>0</v>
      </c>
      <c r="I296" s="17">
        <f t="shared" si="18"/>
        <v>0</v>
      </c>
      <c r="J296" s="17">
        <f t="shared" si="19"/>
        <v>0</v>
      </c>
    </row>
    <row r="297" spans="1:10" ht="13.5" thickBot="1">
      <c r="A297" s="15" t="str">
        <f>IF('[1]R-2010'!H297&lt;&gt;"","07974082000114","")</f>
        <v>07974082000114</v>
      </c>
      <c r="B297" s="15" t="str">
        <f t="shared" si="16"/>
        <v>07974082000114</v>
      </c>
      <c r="C297" s="15" t="str">
        <f>IFERROR(TEXT(VALUE(SUBSTITUTE(SUBSTITUTE(SUBSTITUTE('[1]R-2010'!H297,".",""),"/",""),"-","")),"00000000000"),"")</f>
        <v>24525971000113</v>
      </c>
      <c r="D297" s="5">
        <f>IFERROR('[1]R-2010'!J297,"")</f>
        <v>45901</v>
      </c>
      <c r="E297" s="15" t="str">
        <f>""</f>
        <v/>
      </c>
      <c r="F297" s="15"/>
      <c r="G297" s="16">
        <f>IFERROR('[1]R-2010'!L297,"")</f>
        <v>42235.83</v>
      </c>
      <c r="H297" s="17">
        <f t="shared" si="17"/>
        <v>0</v>
      </c>
      <c r="I297" s="17">
        <f t="shared" si="18"/>
        <v>0</v>
      </c>
      <c r="J297" s="17">
        <f t="shared" si="19"/>
        <v>0</v>
      </c>
    </row>
    <row r="298" spans="1:10" ht="13.5" thickBot="1">
      <c r="A298" s="15" t="str">
        <f>IF('[1]R-2010'!H298&lt;&gt;"","07974082000114","")</f>
        <v>07974082000114</v>
      </c>
      <c r="B298" s="15" t="str">
        <f t="shared" si="16"/>
        <v>07974082000114</v>
      </c>
      <c r="C298" s="15" t="str">
        <f>IFERROR(TEXT(VALUE(SUBSTITUTE(SUBSTITUTE(SUBSTITUTE('[1]R-2010'!H298,".",""),"/",""),"-","")),"00000000000"),"")</f>
        <v>69374585000106</v>
      </c>
      <c r="D298" s="5">
        <f>IFERROR('[1]R-2010'!J298,"")</f>
        <v>45901</v>
      </c>
      <c r="E298" s="15" t="str">
        <f>""</f>
        <v/>
      </c>
      <c r="F298" s="15"/>
      <c r="G298" s="16">
        <f>IFERROR('[1]R-2010'!L298,"")</f>
        <v>500000</v>
      </c>
      <c r="H298" s="17">
        <f t="shared" si="17"/>
        <v>0</v>
      </c>
      <c r="I298" s="17">
        <f t="shared" si="18"/>
        <v>0</v>
      </c>
      <c r="J298" s="17">
        <f t="shared" si="19"/>
        <v>0</v>
      </c>
    </row>
    <row r="299" spans="1:10" ht="13.5" thickBot="1">
      <c r="A299" s="15" t="str">
        <f>IF('[1]R-2010'!H299&lt;&gt;"","07974082000114","")</f>
        <v>07974082000114</v>
      </c>
      <c r="B299" s="15" t="str">
        <f t="shared" si="16"/>
        <v>07974082000114</v>
      </c>
      <c r="C299" s="15" t="str">
        <f>IFERROR(TEXT(VALUE(SUBSTITUTE(SUBSTITUTE(SUBSTITUTE('[1]R-2010'!H299,".",""),"/",""),"-","")),"00000000000"),"")</f>
        <v>16383848000187</v>
      </c>
      <c r="D299" s="5">
        <f>IFERROR('[1]R-2010'!J299,"")</f>
        <v>45901</v>
      </c>
      <c r="E299" s="15" t="str">
        <f>""</f>
        <v/>
      </c>
      <c r="F299" s="15"/>
      <c r="G299" s="16">
        <f>IFERROR('[1]R-2010'!L299,"")</f>
        <v>39987.18</v>
      </c>
      <c r="H299" s="17">
        <f t="shared" si="17"/>
        <v>0</v>
      </c>
      <c r="I299" s="17">
        <f t="shared" si="18"/>
        <v>0</v>
      </c>
      <c r="J299" s="17">
        <f t="shared" si="19"/>
        <v>0</v>
      </c>
    </row>
    <row r="300" spans="1:10" ht="13.5" thickBot="1">
      <c r="A300" s="15" t="str">
        <f>IF('[1]R-2010'!H300&lt;&gt;"","07974082000114","")</f>
        <v>07974082000114</v>
      </c>
      <c r="B300" s="15" t="str">
        <f t="shared" si="16"/>
        <v>07974082000114</v>
      </c>
      <c r="C300" s="15" t="str">
        <f>IFERROR(TEXT(VALUE(SUBSTITUTE(SUBSTITUTE(SUBSTITUTE('[1]R-2010'!H300,".",""),"/",""),"-","")),"00000000000"),"")</f>
        <v>44444145000157</v>
      </c>
      <c r="D300" s="5">
        <f>IFERROR('[1]R-2010'!J300,"")</f>
        <v>45901</v>
      </c>
      <c r="E300" s="15" t="str">
        <f>""</f>
        <v/>
      </c>
      <c r="F300" s="15"/>
      <c r="G300" s="16">
        <f>IFERROR('[1]R-2010'!L300,"")</f>
        <v>100000</v>
      </c>
      <c r="H300" s="17">
        <f t="shared" si="17"/>
        <v>0</v>
      </c>
      <c r="I300" s="17">
        <f t="shared" si="18"/>
        <v>0</v>
      </c>
      <c r="J300" s="17">
        <f t="shared" si="19"/>
        <v>0</v>
      </c>
    </row>
    <row r="301" spans="1:10" ht="13.5" thickBot="1">
      <c r="A301" s="15" t="str">
        <f>IF('[1]R-2010'!H301&lt;&gt;"","07974082000114","")</f>
        <v>07974082000114</v>
      </c>
      <c r="B301" s="15" t="str">
        <f t="shared" si="16"/>
        <v>07974082000114</v>
      </c>
      <c r="C301" s="15" t="str">
        <f>IFERROR(TEXT(VALUE(SUBSTITUTE(SUBSTITUTE(SUBSTITUTE('[1]R-2010'!H301,".",""),"/",""),"-","")),"00000000000"),"")</f>
        <v>3420933000126</v>
      </c>
      <c r="D301" s="5">
        <f>IFERROR('[1]R-2010'!J301,"")</f>
        <v>45901</v>
      </c>
      <c r="E301" s="15" t="str">
        <f>""</f>
        <v/>
      </c>
      <c r="F301" s="15"/>
      <c r="G301" s="16">
        <f>IFERROR('[1]R-2010'!L301,"")</f>
        <v>5002.32</v>
      </c>
      <c r="H301" s="17">
        <f t="shared" si="17"/>
        <v>0</v>
      </c>
      <c r="I301" s="17">
        <f t="shared" si="18"/>
        <v>0</v>
      </c>
      <c r="J301" s="17">
        <f t="shared" si="19"/>
        <v>0</v>
      </c>
    </row>
    <row r="302" spans="1:10" ht="13.5" thickBot="1">
      <c r="A302" s="15" t="str">
        <f>IF('[1]R-2010'!H302&lt;&gt;"","07974082000114","")</f>
        <v>07974082000114</v>
      </c>
      <c r="B302" s="15" t="str">
        <f t="shared" si="16"/>
        <v>07974082000114</v>
      </c>
      <c r="C302" s="15" t="str">
        <f>IFERROR(TEXT(VALUE(SUBSTITUTE(SUBSTITUTE(SUBSTITUTE('[1]R-2010'!H302,".",""),"/",""),"-","")),"00000000000"),"")</f>
        <v>30994850000113</v>
      </c>
      <c r="D302" s="5">
        <f>IFERROR('[1]R-2010'!J302,"")</f>
        <v>45901</v>
      </c>
      <c r="E302" s="15" t="str">
        <f>""</f>
        <v/>
      </c>
      <c r="F302" s="15"/>
      <c r="G302" s="16">
        <f>IFERROR('[1]R-2010'!L302,"")</f>
        <v>400000</v>
      </c>
      <c r="H302" s="17">
        <f t="shared" si="17"/>
        <v>0</v>
      </c>
      <c r="I302" s="17">
        <f t="shared" si="18"/>
        <v>0</v>
      </c>
      <c r="J302" s="17">
        <f t="shared" si="19"/>
        <v>0</v>
      </c>
    </row>
    <row r="303" spans="1:10" ht="13.5" thickBot="1">
      <c r="A303" s="15" t="str">
        <f>IF('[1]R-2010'!H303&lt;&gt;"","07974082000114","")</f>
        <v>07974082000114</v>
      </c>
      <c r="B303" s="15" t="str">
        <f t="shared" si="16"/>
        <v>07974082000114</v>
      </c>
      <c r="C303" s="15" t="str">
        <f>IFERROR(TEXT(VALUE(SUBSTITUTE(SUBSTITUTE(SUBSTITUTE('[1]R-2010'!H303,".",""),"/",""),"-","")),"00000000000"),"")</f>
        <v>22594152000100</v>
      </c>
      <c r="D303" s="5">
        <f>IFERROR('[1]R-2010'!J303,"")</f>
        <v>45901</v>
      </c>
      <c r="E303" s="15" t="str">
        <f>""</f>
        <v/>
      </c>
      <c r="F303" s="15"/>
      <c r="G303" s="16">
        <f>IFERROR('[1]R-2010'!L303,"")</f>
        <v>20000</v>
      </c>
      <c r="H303" s="17">
        <f t="shared" si="17"/>
        <v>0</v>
      </c>
      <c r="I303" s="17">
        <f t="shared" si="18"/>
        <v>0</v>
      </c>
      <c r="J303" s="17">
        <f t="shared" si="19"/>
        <v>0</v>
      </c>
    </row>
    <row r="304" spans="1:10" ht="13.5" thickBot="1">
      <c r="A304" s="15" t="str">
        <f>IF('[1]R-2010'!H304&lt;&gt;"","07974082000114","")</f>
        <v>07974082000114</v>
      </c>
      <c r="B304" s="15" t="str">
        <f t="shared" si="16"/>
        <v>07974082000114</v>
      </c>
      <c r="C304" s="15" t="str">
        <f>IFERROR(TEXT(VALUE(SUBSTITUTE(SUBSTITUTE(SUBSTITUTE('[1]R-2010'!H304,".",""),"/",""),"-","")),"00000000000"),"")</f>
        <v>22892840000149</v>
      </c>
      <c r="D304" s="5">
        <f>IFERROR('[1]R-2010'!J304,"")</f>
        <v>45901</v>
      </c>
      <c r="E304" s="15" t="str">
        <f>""</f>
        <v/>
      </c>
      <c r="F304" s="15"/>
      <c r="G304" s="16">
        <f>IFERROR('[1]R-2010'!L304,"")</f>
        <v>389072.53</v>
      </c>
      <c r="H304" s="17">
        <f t="shared" si="17"/>
        <v>0</v>
      </c>
      <c r="I304" s="17">
        <f t="shared" si="18"/>
        <v>0</v>
      </c>
      <c r="J304" s="17">
        <f t="shared" si="19"/>
        <v>0</v>
      </c>
    </row>
    <row r="305" spans="1:10" ht="13.5" thickBot="1">
      <c r="A305" s="15" t="str">
        <f>IF('[1]R-2010'!H305&lt;&gt;"","07974082000114","")</f>
        <v>07974082000114</v>
      </c>
      <c r="B305" s="15" t="str">
        <f t="shared" si="16"/>
        <v>07974082000114</v>
      </c>
      <c r="C305" s="15" t="str">
        <f>IFERROR(TEXT(VALUE(SUBSTITUTE(SUBSTITUTE(SUBSTITUTE('[1]R-2010'!H305,".",""),"/",""),"-","")),"00000000000"),"")</f>
        <v>30994850000113</v>
      </c>
      <c r="D305" s="5">
        <f>IFERROR('[1]R-2010'!J305,"")</f>
        <v>45931</v>
      </c>
      <c r="E305" s="15" t="str">
        <f>""</f>
        <v/>
      </c>
      <c r="F305" s="15"/>
      <c r="G305" s="16">
        <f>IFERROR('[1]R-2010'!L305,"")</f>
        <v>250000</v>
      </c>
      <c r="H305" s="17">
        <f t="shared" si="17"/>
        <v>0</v>
      </c>
      <c r="I305" s="17">
        <f t="shared" si="18"/>
        <v>0</v>
      </c>
      <c r="J305" s="17">
        <f t="shared" si="19"/>
        <v>0</v>
      </c>
    </row>
    <row r="306" spans="1:10" ht="13.5" thickBot="1">
      <c r="A306" s="15" t="str">
        <f>IF('[1]R-2010'!H306&lt;&gt;"","07974082000114","")</f>
        <v>07974082000114</v>
      </c>
      <c r="B306" s="15" t="str">
        <f t="shared" si="16"/>
        <v>07974082000114</v>
      </c>
      <c r="C306" s="15" t="str">
        <f>IFERROR(TEXT(VALUE(SUBSTITUTE(SUBSTITUTE(SUBSTITUTE('[1]R-2010'!H306,".",""),"/",""),"-","")),"00000000000"),"")</f>
        <v>3420933000126</v>
      </c>
      <c r="D306" s="5">
        <f>IFERROR('[1]R-2010'!J306,"")</f>
        <v>45931</v>
      </c>
      <c r="E306" s="15" t="str">
        <f>""</f>
        <v/>
      </c>
      <c r="F306" s="15"/>
      <c r="G306" s="16">
        <f>IFERROR('[1]R-2010'!L306,"")</f>
        <v>164.51</v>
      </c>
      <c r="H306" s="17">
        <f t="shared" si="17"/>
        <v>0</v>
      </c>
      <c r="I306" s="17">
        <f t="shared" si="18"/>
        <v>0</v>
      </c>
      <c r="J306" s="17">
        <f t="shared" si="19"/>
        <v>0</v>
      </c>
    </row>
    <row r="307" spans="1:10" ht="13.5" thickBot="1">
      <c r="A307" s="15" t="str">
        <f>IF('[1]R-2010'!H307&lt;&gt;"","07974082000114","")</f>
        <v>07974082000114</v>
      </c>
      <c r="B307" s="15" t="str">
        <f t="shared" si="16"/>
        <v>07974082000114</v>
      </c>
      <c r="C307" s="15" t="str">
        <f>IFERROR(TEXT(VALUE(SUBSTITUTE(SUBSTITUTE(SUBSTITUTE('[1]R-2010'!H307,".",""),"/",""),"-","")),"00000000000"),"")</f>
        <v>22892840000149</v>
      </c>
      <c r="D307" s="5">
        <f>IFERROR('[1]R-2010'!J307,"")</f>
        <v>45931</v>
      </c>
      <c r="E307" s="15" t="str">
        <f>""</f>
        <v/>
      </c>
      <c r="F307" s="15"/>
      <c r="G307" s="16">
        <f>IFERROR('[1]R-2010'!L307,"")</f>
        <v>194438.87</v>
      </c>
      <c r="H307" s="17">
        <f t="shared" si="17"/>
        <v>0</v>
      </c>
      <c r="I307" s="17">
        <f t="shared" si="18"/>
        <v>0</v>
      </c>
      <c r="J307" s="17">
        <f t="shared" si="19"/>
        <v>0</v>
      </c>
    </row>
    <row r="308" spans="1:10" ht="13.5" thickBot="1">
      <c r="A308" s="15" t="str">
        <f>IF('[1]R-2010'!H308&lt;&gt;"","07974082000114","")</f>
        <v>07974082000114</v>
      </c>
      <c r="B308" s="15" t="str">
        <f t="shared" si="16"/>
        <v>07974082000114</v>
      </c>
      <c r="C308" s="15" t="str">
        <f>IFERROR(TEXT(VALUE(SUBSTITUTE(SUBSTITUTE(SUBSTITUTE('[1]R-2010'!H308,".",""),"/",""),"-","")),"00000000000"),"")</f>
        <v>22892840000149</v>
      </c>
      <c r="D308" s="5">
        <f>IFERROR('[1]R-2010'!J308,"")</f>
        <v>45931</v>
      </c>
      <c r="E308" s="15" t="str">
        <f>""</f>
        <v/>
      </c>
      <c r="F308" s="15"/>
      <c r="G308" s="16">
        <f>IFERROR('[1]R-2010'!L308,"")</f>
        <v>218922.47</v>
      </c>
      <c r="H308" s="17">
        <f t="shared" si="17"/>
        <v>0</v>
      </c>
      <c r="I308" s="17">
        <f t="shared" si="18"/>
        <v>0</v>
      </c>
      <c r="J308" s="17">
        <f t="shared" si="19"/>
        <v>0</v>
      </c>
    </row>
    <row r="309" spans="1:10" ht="13.5" thickBot="1">
      <c r="A309" s="15" t="str">
        <f>IF('[1]R-2010'!H309&lt;&gt;"","07974082000114","")</f>
        <v>07974082000114</v>
      </c>
      <c r="B309" s="15" t="str">
        <f t="shared" si="16"/>
        <v>07974082000114</v>
      </c>
      <c r="C309" s="15" t="str">
        <f>IFERROR(TEXT(VALUE(SUBSTITUTE(SUBSTITUTE(SUBSTITUTE('[1]R-2010'!H309,".",""),"/",""),"-","")),"00000000000"),"")</f>
        <v>18413043000164</v>
      </c>
      <c r="D309" s="5">
        <f>IFERROR('[1]R-2010'!J309,"")</f>
        <v>45931</v>
      </c>
      <c r="E309" s="15" t="str">
        <f>""</f>
        <v/>
      </c>
      <c r="F309" s="15"/>
      <c r="G309" s="16">
        <f>IFERROR('[1]R-2010'!L309,"")</f>
        <v>971923.64</v>
      </c>
      <c r="H309" s="17">
        <f t="shared" si="17"/>
        <v>0</v>
      </c>
      <c r="I309" s="17">
        <f t="shared" si="18"/>
        <v>0</v>
      </c>
      <c r="J309" s="17">
        <f t="shared" si="19"/>
        <v>0</v>
      </c>
    </row>
    <row r="310" spans="1:10" ht="13.5" thickBot="1">
      <c r="A310" s="15" t="str">
        <f>IF('[1]R-2010'!H310&lt;&gt;"","07974082000114","")</f>
        <v>07974082000114</v>
      </c>
      <c r="B310" s="15" t="str">
        <f t="shared" si="16"/>
        <v>07974082000114</v>
      </c>
      <c r="C310" s="15" t="str">
        <f>IFERROR(TEXT(VALUE(SUBSTITUTE(SUBSTITUTE(SUBSTITUTE('[1]R-2010'!H310,".",""),"/",""),"-","")),"00000000000"),"")</f>
        <v>40039126000194</v>
      </c>
      <c r="D310" s="5">
        <f>IFERROR('[1]R-2010'!J310,"")</f>
        <v>45931</v>
      </c>
      <c r="E310" s="15" t="str">
        <f>""</f>
        <v/>
      </c>
      <c r="F310" s="15"/>
      <c r="G310" s="16">
        <f>IFERROR('[1]R-2010'!L310,"")</f>
        <v>1545390.99</v>
      </c>
      <c r="H310" s="17">
        <f t="shared" si="17"/>
        <v>0</v>
      </c>
      <c r="I310" s="17">
        <f t="shared" si="18"/>
        <v>0</v>
      </c>
      <c r="J310" s="17">
        <f t="shared" si="19"/>
        <v>0</v>
      </c>
    </row>
    <row r="311" spans="1:10" ht="13.5" thickBot="1">
      <c r="A311" s="15" t="str">
        <f>IF('[1]R-2010'!H311&lt;&gt;"","07974082000114","")</f>
        <v>07974082000114</v>
      </c>
      <c r="B311" s="15" t="str">
        <f t="shared" si="16"/>
        <v>07974082000114</v>
      </c>
      <c r="C311" s="15" t="str">
        <f>IFERROR(TEXT(VALUE(SUBSTITUTE(SUBSTITUTE(SUBSTITUTE('[1]R-2010'!H311,".",""),"/",""),"-","")),"00000000000"),"")</f>
        <v>69374585000106</v>
      </c>
      <c r="D311" s="5">
        <f>IFERROR('[1]R-2010'!J311,"")</f>
        <v>45931</v>
      </c>
      <c r="E311" s="15" t="str">
        <f>""</f>
        <v/>
      </c>
      <c r="F311" s="15"/>
      <c r="G311" s="16">
        <f>IFERROR('[1]R-2010'!L311,"")</f>
        <v>500000</v>
      </c>
      <c r="H311" s="17">
        <f t="shared" si="17"/>
        <v>0</v>
      </c>
      <c r="I311" s="17">
        <f t="shared" si="18"/>
        <v>0</v>
      </c>
      <c r="J311" s="17">
        <f t="shared" si="19"/>
        <v>0</v>
      </c>
    </row>
    <row r="312" spans="1:10" ht="13.5" thickBot="1">
      <c r="A312" s="15" t="str">
        <f>IF('[1]R-2010'!H312&lt;&gt;"","07974082000114","")</f>
        <v>07974082000114</v>
      </c>
      <c r="B312" s="15" t="str">
        <f t="shared" si="16"/>
        <v>07974082000114</v>
      </c>
      <c r="C312" s="15" t="str">
        <f>IFERROR(TEXT(VALUE(SUBSTITUTE(SUBSTITUTE(SUBSTITUTE('[1]R-2010'!H312,".",""),"/",""),"-","")),"00000000000"),"")</f>
        <v>3420933000126</v>
      </c>
      <c r="D312" s="5">
        <f>IFERROR('[1]R-2010'!J312,"")</f>
        <v>45931</v>
      </c>
      <c r="E312" s="15" t="str">
        <f>""</f>
        <v/>
      </c>
      <c r="F312" s="15"/>
      <c r="G312" s="16">
        <f>IFERROR('[1]R-2010'!L312,"")</f>
        <v>22620</v>
      </c>
      <c r="H312" s="17">
        <f t="shared" si="17"/>
        <v>0</v>
      </c>
      <c r="I312" s="17">
        <f t="shared" si="18"/>
        <v>0</v>
      </c>
      <c r="J312" s="17">
        <f t="shared" si="19"/>
        <v>0</v>
      </c>
    </row>
    <row r="313" spans="1:10" ht="13.5" thickBot="1">
      <c r="A313" s="15" t="str">
        <f>IF('[1]R-2010'!H313&lt;&gt;"","07974082000114","")</f>
        <v>07974082000114</v>
      </c>
      <c r="B313" s="15" t="str">
        <f t="shared" si="16"/>
        <v>07974082000114</v>
      </c>
      <c r="C313" s="15" t="str">
        <f>IFERROR(TEXT(VALUE(SUBSTITUTE(SUBSTITUTE(SUBSTITUTE('[1]R-2010'!H313,".",""),"/",""),"-","")),"00000000000"),"")</f>
        <v>44444145000157</v>
      </c>
      <c r="D313" s="5">
        <f>IFERROR('[1]R-2010'!J313,"")</f>
        <v>45931</v>
      </c>
      <c r="E313" s="15" t="str">
        <f>""</f>
        <v/>
      </c>
      <c r="F313" s="15"/>
      <c r="G313" s="16">
        <f>IFERROR('[1]R-2010'!L313,"")</f>
        <v>84199.66</v>
      </c>
      <c r="H313" s="17">
        <f t="shared" si="17"/>
        <v>0</v>
      </c>
      <c r="I313" s="17">
        <f t="shared" si="18"/>
        <v>0</v>
      </c>
      <c r="J313" s="17">
        <f t="shared" si="19"/>
        <v>0</v>
      </c>
    </row>
    <row r="314" spans="1:10" ht="13.5" thickBot="1">
      <c r="A314" s="15" t="str">
        <f>IF('[1]R-2010'!H314&lt;&gt;"","07974082000114","")</f>
        <v>07974082000114</v>
      </c>
      <c r="B314" s="15" t="str">
        <f t="shared" si="16"/>
        <v>07974082000114</v>
      </c>
      <c r="C314" s="15" t="str">
        <f>IFERROR(TEXT(VALUE(SUBSTITUTE(SUBSTITUTE(SUBSTITUTE('[1]R-2010'!H314,".",""),"/",""),"-","")),"00000000000"),"")</f>
        <v>30994850000113</v>
      </c>
      <c r="D314" s="5">
        <f>IFERROR('[1]R-2010'!J314,"")</f>
        <v>45931</v>
      </c>
      <c r="E314" s="15" t="str">
        <f>""</f>
        <v/>
      </c>
      <c r="F314" s="15"/>
      <c r="G314" s="16">
        <f>IFERROR('[1]R-2010'!L314,"")</f>
        <v>176900.09</v>
      </c>
      <c r="H314" s="17">
        <f t="shared" si="17"/>
        <v>0</v>
      </c>
      <c r="I314" s="17">
        <f t="shared" si="18"/>
        <v>0</v>
      </c>
      <c r="J314" s="17">
        <f t="shared" si="19"/>
        <v>0</v>
      </c>
    </row>
    <row r="315" spans="1:10" ht="13.5" thickBot="1">
      <c r="A315" s="15" t="str">
        <f>IF('[1]R-2010'!H315&lt;&gt;"","07974082000114","")</f>
        <v>07974082000114</v>
      </c>
      <c r="B315" s="15" t="str">
        <f t="shared" si="16"/>
        <v>07974082000114</v>
      </c>
      <c r="C315" s="15" t="str">
        <f>IFERROR(TEXT(VALUE(SUBSTITUTE(SUBSTITUTE(SUBSTITUTE('[1]R-2010'!H315,".",""),"/",""),"-","")),"00000000000"),"")</f>
        <v>30994850000113</v>
      </c>
      <c r="D315" s="5">
        <f>IFERROR('[1]R-2010'!J315,"")</f>
        <v>45931</v>
      </c>
      <c r="E315" s="15" t="str">
        <f>""</f>
        <v/>
      </c>
      <c r="F315" s="15"/>
      <c r="G315" s="16">
        <f>IFERROR('[1]R-2010'!L315,"")</f>
        <v>295000</v>
      </c>
      <c r="H315" s="17">
        <f t="shared" si="17"/>
        <v>0</v>
      </c>
      <c r="I315" s="17">
        <f t="shared" si="18"/>
        <v>0</v>
      </c>
      <c r="J315" s="17">
        <f t="shared" si="19"/>
        <v>0</v>
      </c>
    </row>
    <row r="316" spans="1:10" ht="13.5" thickBot="1">
      <c r="A316" s="15" t="str">
        <f>IF('[1]R-2010'!H316&lt;&gt;"","07974082000114","")</f>
        <v>07974082000114</v>
      </c>
      <c r="B316" s="15" t="str">
        <f t="shared" si="16"/>
        <v>07974082000114</v>
      </c>
      <c r="C316" s="15" t="str">
        <f>IFERROR(TEXT(VALUE(SUBSTITUTE(SUBSTITUTE(SUBSTITUTE('[1]R-2010'!H316,".",""),"/",""),"-","")),"00000000000"),"")</f>
        <v>24525971000113</v>
      </c>
      <c r="D316" s="5">
        <f>IFERROR('[1]R-2010'!J316,"")</f>
        <v>45931</v>
      </c>
      <c r="E316" s="15" t="str">
        <f>""</f>
        <v/>
      </c>
      <c r="F316" s="15"/>
      <c r="G316" s="16">
        <f>IFERROR('[1]R-2010'!L316,"")</f>
        <v>8732.18</v>
      </c>
      <c r="H316" s="17">
        <f t="shared" si="17"/>
        <v>0</v>
      </c>
      <c r="I316" s="17">
        <f t="shared" si="18"/>
        <v>0</v>
      </c>
      <c r="J316" s="17">
        <f t="shared" si="19"/>
        <v>0</v>
      </c>
    </row>
    <row r="317" spans="1:10" ht="13.5" thickBot="1">
      <c r="A317" s="15" t="str">
        <f>IF('[1]R-2010'!H317&lt;&gt;"","07974082000114","")</f>
        <v>07974082000114</v>
      </c>
      <c r="B317" s="15" t="str">
        <f t="shared" si="16"/>
        <v>07974082000114</v>
      </c>
      <c r="C317" s="15" t="str">
        <f>IFERROR(TEXT(VALUE(SUBSTITUTE(SUBSTITUTE(SUBSTITUTE('[1]R-2010'!H317,".",""),"/",""),"-","")),"00000000000"),"")</f>
        <v>3420933000126</v>
      </c>
      <c r="D317" s="5">
        <f>IFERROR('[1]R-2010'!J317,"")</f>
        <v>45931</v>
      </c>
      <c r="E317" s="15" t="str">
        <f>""</f>
        <v/>
      </c>
      <c r="F317" s="15"/>
      <c r="G317" s="16">
        <f>IFERROR('[1]R-2010'!L317,"")</f>
        <v>1303.93</v>
      </c>
      <c r="H317" s="17">
        <f t="shared" si="17"/>
        <v>0</v>
      </c>
      <c r="I317" s="17">
        <f t="shared" si="18"/>
        <v>0</v>
      </c>
      <c r="J317" s="17">
        <f t="shared" si="19"/>
        <v>0</v>
      </c>
    </row>
    <row r="318" spans="1:10" ht="13.5" thickBot="1">
      <c r="A318" s="15" t="str">
        <f>IF('[1]R-2010'!H318&lt;&gt;"","07974082000114","")</f>
        <v>07974082000114</v>
      </c>
      <c r="B318" s="15" t="str">
        <f t="shared" si="16"/>
        <v>07974082000114</v>
      </c>
      <c r="C318" s="15" t="str">
        <f>IFERROR(TEXT(VALUE(SUBSTITUTE(SUBSTITUTE(SUBSTITUTE('[1]R-2010'!H318,".",""),"/",""),"-","")),"00000000000"),"")</f>
        <v>3420933000126</v>
      </c>
      <c r="D318" s="5">
        <f>IFERROR('[1]R-2010'!J318,"")</f>
        <v>45931</v>
      </c>
      <c r="E318" s="15" t="str">
        <f>""</f>
        <v/>
      </c>
      <c r="F318" s="15"/>
      <c r="G318" s="16">
        <f>IFERROR('[1]R-2010'!L318,"")</f>
        <v>1540.81</v>
      </c>
      <c r="H318" s="17">
        <f t="shared" si="17"/>
        <v>0</v>
      </c>
      <c r="I318" s="17">
        <f t="shared" si="18"/>
        <v>0</v>
      </c>
      <c r="J318" s="17">
        <f t="shared" si="19"/>
        <v>0</v>
      </c>
    </row>
    <row r="319" spans="1:10" ht="13.5" thickBot="1">
      <c r="A319" s="15" t="str">
        <f>IF('[1]R-2010'!H319&lt;&gt;"","07974082000114","")</f>
        <v>07974082000114</v>
      </c>
      <c r="B319" s="15" t="str">
        <f t="shared" si="16"/>
        <v>07974082000114</v>
      </c>
      <c r="C319" s="15" t="str">
        <f>IFERROR(TEXT(VALUE(SUBSTITUTE(SUBSTITUTE(SUBSTITUTE('[1]R-2010'!H319,".",""),"/",""),"-","")),"00000000000"),"")</f>
        <v>3420933000126</v>
      </c>
      <c r="D319" s="5">
        <f>IFERROR('[1]R-2010'!J319,"")</f>
        <v>45931</v>
      </c>
      <c r="E319" s="15" t="str">
        <f>""</f>
        <v/>
      </c>
      <c r="F319" s="15"/>
      <c r="G319" s="16">
        <f>IFERROR('[1]R-2010'!L319,"")</f>
        <v>5612.26</v>
      </c>
      <c r="H319" s="17">
        <f t="shared" si="17"/>
        <v>0</v>
      </c>
      <c r="I319" s="17">
        <f t="shared" si="18"/>
        <v>0</v>
      </c>
      <c r="J319" s="17">
        <f t="shared" si="19"/>
        <v>0</v>
      </c>
    </row>
    <row r="320" spans="1:10" ht="13.5" thickBot="1">
      <c r="A320" s="15" t="str">
        <f>IF('[1]R-2010'!H320&lt;&gt;"","07974082000114","")</f>
        <v>07974082000114</v>
      </c>
      <c r="B320" s="15" t="str">
        <f t="shared" si="16"/>
        <v>07974082000114</v>
      </c>
      <c r="C320" s="15" t="str">
        <f>IFERROR(TEXT(VALUE(SUBSTITUTE(SUBSTITUTE(SUBSTITUTE('[1]R-2010'!H320,".",""),"/",""),"-","")),"00000000000"),"")</f>
        <v>3420933000126</v>
      </c>
      <c r="D320" s="5">
        <f>IFERROR('[1]R-2010'!J320,"")</f>
        <v>45931</v>
      </c>
      <c r="E320" s="15" t="str">
        <f>""</f>
        <v/>
      </c>
      <c r="F320" s="15"/>
      <c r="G320" s="16">
        <f>IFERROR('[1]R-2010'!L320,"")</f>
        <v>6351.14</v>
      </c>
      <c r="H320" s="17">
        <f t="shared" si="17"/>
        <v>0</v>
      </c>
      <c r="I320" s="17">
        <f t="shared" si="18"/>
        <v>0</v>
      </c>
      <c r="J320" s="17">
        <f t="shared" si="19"/>
        <v>0</v>
      </c>
    </row>
    <row r="321" spans="1:10" ht="13.5" thickBot="1">
      <c r="A321" s="15" t="str">
        <f>IF('[1]R-2010'!H321&lt;&gt;"","07974082000114","")</f>
        <v>07974082000114</v>
      </c>
      <c r="B321" s="15" t="str">
        <f t="shared" si="16"/>
        <v>07974082000114</v>
      </c>
      <c r="C321" s="15" t="str">
        <f>IFERROR(TEXT(VALUE(SUBSTITUTE(SUBSTITUTE(SUBSTITUTE('[1]R-2010'!H321,".",""),"/",""),"-","")),"00000000000"),"")</f>
        <v>3420933000126</v>
      </c>
      <c r="D321" s="5">
        <f>IFERROR('[1]R-2010'!J321,"")</f>
        <v>45931</v>
      </c>
      <c r="E321" s="15" t="str">
        <f>""</f>
        <v/>
      </c>
      <c r="F321" s="15"/>
      <c r="G321" s="16">
        <f>IFERROR('[1]R-2010'!L321,"")</f>
        <v>23400</v>
      </c>
      <c r="H321" s="17">
        <f t="shared" si="17"/>
        <v>0</v>
      </c>
      <c r="I321" s="17">
        <f t="shared" si="18"/>
        <v>0</v>
      </c>
      <c r="J321" s="17">
        <f t="shared" si="19"/>
        <v>0</v>
      </c>
    </row>
    <row r="322" spans="1:10" ht="13.5" thickBot="1">
      <c r="A322" s="15" t="str">
        <f>IF('[1]R-2010'!H322&lt;&gt;"","07974082000114","")</f>
        <v>07974082000114</v>
      </c>
      <c r="B322" s="15" t="str">
        <f t="shared" si="16"/>
        <v>07974082000114</v>
      </c>
      <c r="C322" s="15" t="str">
        <f>IFERROR(TEXT(VALUE(SUBSTITUTE(SUBSTITUTE(SUBSTITUTE('[1]R-2010'!H322,".",""),"/",""),"-","")),"00000000000"),"")</f>
        <v>3420933000126</v>
      </c>
      <c r="D322" s="5">
        <f>IFERROR('[1]R-2010'!J322,"")</f>
        <v>45931</v>
      </c>
      <c r="E322" s="15" t="str">
        <f>""</f>
        <v/>
      </c>
      <c r="F322" s="15"/>
      <c r="G322" s="16">
        <f>IFERROR('[1]R-2010'!L322,"")</f>
        <v>23400</v>
      </c>
      <c r="H322" s="17">
        <f t="shared" si="17"/>
        <v>0</v>
      </c>
      <c r="I322" s="17">
        <f t="shared" si="18"/>
        <v>0</v>
      </c>
      <c r="J322" s="17">
        <f t="shared" si="19"/>
        <v>0</v>
      </c>
    </row>
    <row r="323" spans="1:10" ht="13.5" thickBot="1">
      <c r="A323" s="15" t="str">
        <f>IF('[1]R-2010'!H323&lt;&gt;"","07974082000114","")</f>
        <v>07974082000114</v>
      </c>
      <c r="B323" s="15" t="str">
        <f t="shared" ref="B323:B361" si="20">IF(A323&lt;&gt;"",A323,"")</f>
        <v>07974082000114</v>
      </c>
      <c r="C323" s="15" t="str">
        <f>IFERROR(TEXT(VALUE(SUBSTITUTE(SUBSTITUTE(SUBSTITUTE('[1]R-2010'!H323,".",""),"/",""),"-","")),"00000000000"),"")</f>
        <v>3420933000126</v>
      </c>
      <c r="D323" s="5">
        <f>IFERROR('[1]R-2010'!J323,"")</f>
        <v>45931</v>
      </c>
      <c r="E323" s="15" t="str">
        <f>""</f>
        <v/>
      </c>
      <c r="F323" s="15"/>
      <c r="G323" s="16">
        <f>IFERROR('[1]R-2010'!L323,"")</f>
        <v>28133.24</v>
      </c>
      <c r="H323" s="17">
        <f t="shared" ref="H323:H361" si="21">IF(C323&lt;&gt;"",0,"")</f>
        <v>0</v>
      </c>
      <c r="I323" s="17">
        <f t="shared" ref="I323:I361" si="22">IF(C323&lt;&gt;"",0,"")</f>
        <v>0</v>
      </c>
      <c r="J323" s="17">
        <f t="shared" ref="J323:J361" si="23">IF(C323&lt;&gt;"",0,"")</f>
        <v>0</v>
      </c>
    </row>
    <row r="324" spans="1:10" ht="13.5" thickBot="1">
      <c r="A324" s="15" t="str">
        <f>IF('[1]R-2010'!H324&lt;&gt;"","07974082000114","")</f>
        <v>07974082000114</v>
      </c>
      <c r="B324" s="15" t="str">
        <f t="shared" si="20"/>
        <v>07974082000114</v>
      </c>
      <c r="C324" s="15" t="str">
        <f>IFERROR(TEXT(VALUE(SUBSTITUTE(SUBSTITUTE(SUBSTITUTE('[1]R-2010'!H324,".",""),"/",""),"-","")),"00000000000"),"")</f>
        <v>3420933000126</v>
      </c>
      <c r="D324" s="5">
        <f>IFERROR('[1]R-2010'!J324,"")</f>
        <v>45931</v>
      </c>
      <c r="E324" s="15" t="str">
        <f>""</f>
        <v/>
      </c>
      <c r="F324" s="15"/>
      <c r="G324" s="16">
        <f>IFERROR('[1]R-2010'!L324,"")</f>
        <v>28547.24</v>
      </c>
      <c r="H324" s="17">
        <f t="shared" si="21"/>
        <v>0</v>
      </c>
      <c r="I324" s="17">
        <f t="shared" si="22"/>
        <v>0</v>
      </c>
      <c r="J324" s="17">
        <f t="shared" si="23"/>
        <v>0</v>
      </c>
    </row>
    <row r="325" spans="1:10" ht="13.5" thickBot="1">
      <c r="A325" s="15" t="str">
        <f>IF('[1]R-2010'!H325&lt;&gt;"","07974082000114","")</f>
        <v>07974082000114</v>
      </c>
      <c r="B325" s="15" t="str">
        <f t="shared" si="20"/>
        <v>07974082000114</v>
      </c>
      <c r="C325" s="15" t="str">
        <f>IFERROR(TEXT(VALUE(SUBSTITUTE(SUBSTITUTE(SUBSTITUTE('[1]R-2010'!H325,".",""),"/",""),"-","")),"00000000000"),"")</f>
        <v>24525971000113</v>
      </c>
      <c r="D325" s="5">
        <f>IFERROR('[1]R-2010'!J325,"")</f>
        <v>45931</v>
      </c>
      <c r="E325" s="15" t="str">
        <f>""</f>
        <v/>
      </c>
      <c r="F325" s="15"/>
      <c r="G325" s="16">
        <f>IFERROR('[1]R-2010'!L325,"")</f>
        <v>34928.71</v>
      </c>
      <c r="H325" s="17">
        <f t="shared" si="21"/>
        <v>0</v>
      </c>
      <c r="I325" s="17">
        <f t="shared" si="22"/>
        <v>0</v>
      </c>
      <c r="J325" s="17">
        <f t="shared" si="23"/>
        <v>0</v>
      </c>
    </row>
    <row r="326" spans="1:10" ht="13.5" thickBot="1">
      <c r="A326" s="15" t="str">
        <f>IF('[1]R-2010'!H326&lt;&gt;"","07974082000114","")</f>
        <v>07974082000114</v>
      </c>
      <c r="B326" s="15" t="str">
        <f t="shared" si="20"/>
        <v>07974082000114</v>
      </c>
      <c r="C326" s="15" t="str">
        <f>IFERROR(TEXT(VALUE(SUBSTITUTE(SUBSTITUTE(SUBSTITUTE('[1]R-2010'!H326,".",""),"/",""),"-","")),"00000000000"),"")</f>
        <v>24525971000113</v>
      </c>
      <c r="D326" s="5">
        <f>IFERROR('[1]R-2010'!J326,"")</f>
        <v>45931</v>
      </c>
      <c r="E326" s="15" t="str">
        <f>""</f>
        <v/>
      </c>
      <c r="F326" s="15"/>
      <c r="G326" s="16">
        <f>IFERROR('[1]R-2010'!L326,"")</f>
        <v>43660.89</v>
      </c>
      <c r="H326" s="17">
        <f t="shared" si="21"/>
        <v>0</v>
      </c>
      <c r="I326" s="17">
        <f t="shared" si="22"/>
        <v>0</v>
      </c>
      <c r="J326" s="17">
        <f t="shared" si="23"/>
        <v>0</v>
      </c>
    </row>
    <row r="327" spans="1:10" ht="13.5" thickBot="1">
      <c r="A327" s="15" t="str">
        <f>IF('[1]R-2010'!H327&lt;&gt;"","07974082000114","")</f>
        <v>07974082000114</v>
      </c>
      <c r="B327" s="15" t="str">
        <f t="shared" si="20"/>
        <v>07974082000114</v>
      </c>
      <c r="C327" s="15" t="str">
        <f>IFERROR(TEXT(VALUE(SUBSTITUTE(SUBSTITUTE(SUBSTITUTE('[1]R-2010'!H327,".",""),"/",""),"-","")),"00000000000"),"")</f>
        <v>22594152000100</v>
      </c>
      <c r="D327" s="5">
        <f>IFERROR('[1]R-2010'!J327,"")</f>
        <v>45931</v>
      </c>
      <c r="E327" s="15" t="str">
        <f>""</f>
        <v/>
      </c>
      <c r="F327" s="15"/>
      <c r="G327" s="16">
        <f>IFERROR('[1]R-2010'!L327,"")</f>
        <v>21261.27</v>
      </c>
      <c r="H327" s="17">
        <f t="shared" si="21"/>
        <v>0</v>
      </c>
      <c r="I327" s="17">
        <f t="shared" si="22"/>
        <v>0</v>
      </c>
      <c r="J327" s="17">
        <f t="shared" si="23"/>
        <v>0</v>
      </c>
    </row>
    <row r="328" spans="1:10" ht="13.5" thickBot="1">
      <c r="A328" s="15" t="str">
        <f>IF('[1]R-2010'!H328&lt;&gt;"","07974082000114","")</f>
        <v>07974082000114</v>
      </c>
      <c r="B328" s="15" t="str">
        <f t="shared" si="20"/>
        <v>07974082000114</v>
      </c>
      <c r="C328" s="15" t="str">
        <f>IFERROR(TEXT(VALUE(SUBSTITUTE(SUBSTITUTE(SUBSTITUTE('[1]R-2010'!H328,".",""),"/",""),"-","")),"00000000000"),"")</f>
        <v>22594152000100</v>
      </c>
      <c r="D328" s="5">
        <f>IFERROR('[1]R-2010'!J328,"")</f>
        <v>45931</v>
      </c>
      <c r="E328" s="15" t="str">
        <f>""</f>
        <v/>
      </c>
      <c r="F328" s="15"/>
      <c r="G328" s="16">
        <f>IFERROR('[1]R-2010'!L328,"")</f>
        <v>44669.42</v>
      </c>
      <c r="H328" s="17">
        <f t="shared" si="21"/>
        <v>0</v>
      </c>
      <c r="I328" s="17">
        <f t="shared" si="22"/>
        <v>0</v>
      </c>
      <c r="J328" s="17">
        <f t="shared" si="23"/>
        <v>0</v>
      </c>
    </row>
    <row r="329" spans="1:10" ht="13.5" thickBot="1">
      <c r="A329" s="15" t="str">
        <f>IF('[1]R-2010'!H329&lt;&gt;"","07974082000114","")</f>
        <v>07974082000114</v>
      </c>
      <c r="B329" s="15" t="str">
        <f t="shared" si="20"/>
        <v>07974082000114</v>
      </c>
      <c r="C329" s="15" t="str">
        <f>IFERROR(TEXT(VALUE(SUBSTITUTE(SUBSTITUTE(SUBSTITUTE('[1]R-2010'!H329,".",""),"/",""),"-","")),"00000000000"),"")</f>
        <v>33921755000188</v>
      </c>
      <c r="D329" s="5">
        <f>IFERROR('[1]R-2010'!J329,"")</f>
        <v>45931</v>
      </c>
      <c r="E329" s="15" t="str">
        <f>""</f>
        <v/>
      </c>
      <c r="F329" s="15"/>
      <c r="G329" s="16">
        <f>IFERROR('[1]R-2010'!L329,"")</f>
        <v>4700</v>
      </c>
      <c r="H329" s="17">
        <f t="shared" si="21"/>
        <v>0</v>
      </c>
      <c r="I329" s="17">
        <f t="shared" si="22"/>
        <v>0</v>
      </c>
      <c r="J329" s="17">
        <f t="shared" si="23"/>
        <v>0</v>
      </c>
    </row>
    <row r="330" spans="1:10" ht="13.5" thickBot="1">
      <c r="A330" s="15" t="str">
        <f>IF('[1]R-2010'!H330&lt;&gt;"","07974082000114","")</f>
        <v>07974082000114</v>
      </c>
      <c r="B330" s="15" t="str">
        <f t="shared" si="20"/>
        <v>07974082000114</v>
      </c>
      <c r="C330" s="15" t="str">
        <f>IFERROR(TEXT(VALUE(SUBSTITUTE(SUBSTITUTE(SUBSTITUTE('[1]R-2010'!H330,".",""),"/",""),"-","")),"00000000000"),"")</f>
        <v>27298172000140</v>
      </c>
      <c r="D330" s="5">
        <f>IFERROR('[1]R-2010'!J330,"")</f>
        <v>45931</v>
      </c>
      <c r="E330" s="15" t="str">
        <f>""</f>
        <v/>
      </c>
      <c r="F330" s="15"/>
      <c r="G330" s="16">
        <f>IFERROR('[1]R-2010'!L330,"")</f>
        <v>11920</v>
      </c>
      <c r="H330" s="17">
        <f t="shared" si="21"/>
        <v>0</v>
      </c>
      <c r="I330" s="17">
        <f t="shared" si="22"/>
        <v>0</v>
      </c>
      <c r="J330" s="17">
        <f t="shared" si="23"/>
        <v>0</v>
      </c>
    </row>
    <row r="331" spans="1:10" ht="13.5" thickBot="1">
      <c r="A331" s="15" t="str">
        <f>IF('[1]R-2010'!H331&lt;&gt;"","07974082000114","")</f>
        <v>07974082000114</v>
      </c>
      <c r="B331" s="15" t="str">
        <f t="shared" si="20"/>
        <v>07974082000114</v>
      </c>
      <c r="C331" s="15" t="str">
        <f>IFERROR(TEXT(VALUE(SUBSTITUTE(SUBSTITUTE(SUBSTITUTE('[1]R-2010'!H331,".",""),"/",""),"-","")),"00000000000"),"")</f>
        <v>27298172000140</v>
      </c>
      <c r="D331" s="5">
        <f>IFERROR('[1]R-2010'!J331,"")</f>
        <v>45931</v>
      </c>
      <c r="E331" s="15" t="str">
        <f>""</f>
        <v/>
      </c>
      <c r="F331" s="15"/>
      <c r="G331" s="16">
        <f>IFERROR('[1]R-2010'!L331,"")</f>
        <v>71060</v>
      </c>
      <c r="H331" s="17">
        <f t="shared" si="21"/>
        <v>0</v>
      </c>
      <c r="I331" s="17">
        <f t="shared" si="22"/>
        <v>0</v>
      </c>
      <c r="J331" s="17">
        <f t="shared" si="23"/>
        <v>0</v>
      </c>
    </row>
    <row r="332" spans="1:10" ht="13.5" thickBot="1">
      <c r="A332" s="15" t="str">
        <f>IF('[1]R-2010'!H332&lt;&gt;"","07974082000114","")</f>
        <v>07974082000114</v>
      </c>
      <c r="B332" s="15" t="str">
        <f t="shared" si="20"/>
        <v>07974082000114</v>
      </c>
      <c r="C332" s="15" t="str">
        <f>IFERROR(TEXT(VALUE(SUBSTITUTE(SUBSTITUTE(SUBSTITUTE('[1]R-2010'!H332,".",""),"/",""),"-","")),"00000000000"),"")</f>
        <v>4238951000154</v>
      </c>
      <c r="D332" s="5">
        <f>IFERROR('[1]R-2010'!J332,"")</f>
        <v>45931</v>
      </c>
      <c r="E332" s="15" t="str">
        <f>""</f>
        <v/>
      </c>
      <c r="F332" s="15"/>
      <c r="G332" s="16">
        <f>IFERROR('[1]R-2010'!L332,"")</f>
        <v>19500</v>
      </c>
      <c r="H332" s="17">
        <f t="shared" si="21"/>
        <v>0</v>
      </c>
      <c r="I332" s="17">
        <f t="shared" si="22"/>
        <v>0</v>
      </c>
      <c r="J332" s="17">
        <f t="shared" si="23"/>
        <v>0</v>
      </c>
    </row>
    <row r="333" spans="1:10" ht="13.5" thickBot="1">
      <c r="A333" s="15" t="str">
        <f>IF('[1]R-2010'!H333&lt;&gt;"","07974082000114","")</f>
        <v>07974082000114</v>
      </c>
      <c r="B333" s="15" t="str">
        <f t="shared" si="20"/>
        <v>07974082000114</v>
      </c>
      <c r="C333" s="15" t="str">
        <f>IFERROR(TEXT(VALUE(SUBSTITUTE(SUBSTITUTE(SUBSTITUTE('[1]R-2010'!H333,".",""),"/",""),"-","")),"00000000000"),"")</f>
        <v>16383848000187</v>
      </c>
      <c r="D333" s="5">
        <f>IFERROR('[1]R-2010'!J333,"")</f>
        <v>45931</v>
      </c>
      <c r="E333" s="15" t="str">
        <f>""</f>
        <v/>
      </c>
      <c r="F333" s="15"/>
      <c r="G333" s="16">
        <f>IFERROR('[1]R-2010'!L333,"")</f>
        <v>39987.18</v>
      </c>
      <c r="H333" s="17">
        <f t="shared" si="21"/>
        <v>0</v>
      </c>
      <c r="I333" s="17">
        <f t="shared" si="22"/>
        <v>0</v>
      </c>
      <c r="J333" s="17">
        <f t="shared" si="23"/>
        <v>0</v>
      </c>
    </row>
    <row r="334" spans="1:10" ht="13.5" thickBot="1">
      <c r="A334" s="15" t="str">
        <f>IF('[1]R-2010'!H334&lt;&gt;"","07974082000114","")</f>
        <v>07974082000114</v>
      </c>
      <c r="B334" s="15" t="str">
        <f t="shared" si="20"/>
        <v>07974082000114</v>
      </c>
      <c r="C334" s="15" t="str">
        <f>IFERROR(TEXT(VALUE(SUBSTITUTE(SUBSTITUTE(SUBSTITUTE('[1]R-2010'!H334,".",""),"/",""),"-","")),"00000000000"),"")</f>
        <v>1873572000148</v>
      </c>
      <c r="D334" s="5">
        <f>IFERROR('[1]R-2010'!J334,"")</f>
        <v>45931</v>
      </c>
      <c r="E334" s="15" t="str">
        <f>""</f>
        <v/>
      </c>
      <c r="F334" s="15"/>
      <c r="G334" s="16">
        <f>IFERROR('[1]R-2010'!L334,"")</f>
        <v>354317.57</v>
      </c>
      <c r="H334" s="17">
        <f t="shared" si="21"/>
        <v>0</v>
      </c>
      <c r="I334" s="17">
        <f t="shared" si="22"/>
        <v>0</v>
      </c>
      <c r="J334" s="17">
        <f t="shared" si="23"/>
        <v>0</v>
      </c>
    </row>
    <row r="335" spans="1:10" ht="13.5" thickBot="1">
      <c r="A335" s="15" t="str">
        <f>IF('[1]R-2010'!H335&lt;&gt;"","07974082000114","")</f>
        <v>07974082000114</v>
      </c>
      <c r="B335" s="15" t="str">
        <f t="shared" si="20"/>
        <v>07974082000114</v>
      </c>
      <c r="C335" s="15" t="str">
        <f>IFERROR(TEXT(VALUE(SUBSTITUTE(SUBSTITUTE(SUBSTITUTE('[1]R-2010'!H335,".",""),"/",""),"-","")),"00000000000"),"")</f>
        <v>41657526000126</v>
      </c>
      <c r="D335" s="5">
        <f>IFERROR('[1]R-2010'!J335,"")</f>
        <v>45931</v>
      </c>
      <c r="E335" s="15" t="str">
        <f>""</f>
        <v/>
      </c>
      <c r="F335" s="15"/>
      <c r="G335" s="16">
        <f>IFERROR('[1]R-2010'!L335,"")</f>
        <v>4608</v>
      </c>
      <c r="H335" s="17">
        <f t="shared" si="21"/>
        <v>0</v>
      </c>
      <c r="I335" s="17">
        <f t="shared" si="22"/>
        <v>0</v>
      </c>
      <c r="J335" s="17">
        <f t="shared" si="23"/>
        <v>0</v>
      </c>
    </row>
    <row r="336" spans="1:10" ht="13.5" thickBot="1">
      <c r="A336" s="15" t="str">
        <f>IF('[1]R-2010'!H336&lt;&gt;"","07974082000114","")</f>
        <v>07974082000114</v>
      </c>
      <c r="B336" s="15" t="str">
        <f t="shared" si="20"/>
        <v>07974082000114</v>
      </c>
      <c r="C336" s="15" t="str">
        <f>IFERROR(TEXT(VALUE(SUBSTITUTE(SUBSTITUTE(SUBSTITUTE('[1]R-2010'!H336,".",""),"/",""),"-","")),"00000000000"),"")</f>
        <v>41657526000126</v>
      </c>
      <c r="D336" s="5">
        <f>IFERROR('[1]R-2010'!J336,"")</f>
        <v>45931</v>
      </c>
      <c r="E336" s="15" t="str">
        <f>""</f>
        <v/>
      </c>
      <c r="F336" s="15"/>
      <c r="G336" s="16">
        <f>IFERROR('[1]R-2010'!L336,"")</f>
        <v>4224</v>
      </c>
      <c r="H336" s="17">
        <f t="shared" si="21"/>
        <v>0</v>
      </c>
      <c r="I336" s="17">
        <f t="shared" si="22"/>
        <v>0</v>
      </c>
      <c r="J336" s="17">
        <f t="shared" si="23"/>
        <v>0</v>
      </c>
    </row>
    <row r="337" spans="1:10" ht="13.5" thickBot="1">
      <c r="A337" s="15" t="str">
        <f>IF('[1]R-2010'!H337&lt;&gt;"","07974082000114","")</f>
        <v>07974082000114</v>
      </c>
      <c r="B337" s="15" t="str">
        <f t="shared" si="20"/>
        <v>07974082000114</v>
      </c>
      <c r="C337" s="15" t="str">
        <f>IFERROR(TEXT(VALUE(SUBSTITUTE(SUBSTITUTE(SUBSTITUTE('[1]R-2010'!H337,".",""),"/",""),"-","")),"00000000000"),"")</f>
        <v>18413043000164</v>
      </c>
      <c r="D337" s="5">
        <f>IFERROR('[1]R-2010'!J337,"")</f>
        <v>45931</v>
      </c>
      <c r="E337" s="15" t="str">
        <f>""</f>
        <v/>
      </c>
      <c r="F337" s="15"/>
      <c r="G337" s="16">
        <f>IFERROR('[1]R-2010'!L337,"")</f>
        <v>158485.63</v>
      </c>
      <c r="H337" s="17">
        <f t="shared" si="21"/>
        <v>0</v>
      </c>
      <c r="I337" s="17">
        <f t="shared" si="22"/>
        <v>0</v>
      </c>
      <c r="J337" s="17">
        <f t="shared" si="23"/>
        <v>0</v>
      </c>
    </row>
    <row r="338" spans="1:10" ht="13.5" thickBot="1">
      <c r="A338" s="15" t="str">
        <f>IF('[1]R-2010'!H338&lt;&gt;"","07974082000114","")</f>
        <v>07974082000114</v>
      </c>
      <c r="B338" s="15" t="str">
        <f t="shared" si="20"/>
        <v>07974082000114</v>
      </c>
      <c r="C338" s="15" t="str">
        <f>IFERROR(TEXT(VALUE(SUBSTITUTE(SUBSTITUTE(SUBSTITUTE('[1]R-2010'!H338,".",""),"/",""),"-","")),"00000000000"),"")</f>
        <v>26287364000198</v>
      </c>
      <c r="D338" s="5">
        <f>IFERROR('[1]R-2010'!J338,"")</f>
        <v>45931</v>
      </c>
      <c r="E338" s="15" t="str">
        <f>""</f>
        <v/>
      </c>
      <c r="F338" s="15"/>
      <c r="G338" s="16">
        <f>IFERROR('[1]R-2010'!L338,"")</f>
        <v>449649</v>
      </c>
      <c r="H338" s="17">
        <f t="shared" si="21"/>
        <v>0</v>
      </c>
      <c r="I338" s="17">
        <f t="shared" si="22"/>
        <v>0</v>
      </c>
      <c r="J338" s="17">
        <f t="shared" si="23"/>
        <v>0</v>
      </c>
    </row>
    <row r="339" spans="1:10" ht="13.5" thickBot="1">
      <c r="A339" s="15" t="str">
        <f>IF('[1]R-2010'!H339&lt;&gt;"","07974082000114","")</f>
        <v>07974082000114</v>
      </c>
      <c r="B339" s="15" t="str">
        <f t="shared" si="20"/>
        <v>07974082000114</v>
      </c>
      <c r="C339" s="15" t="str">
        <f>IFERROR(TEXT(VALUE(SUBSTITUTE(SUBSTITUTE(SUBSTITUTE('[1]R-2010'!H339,".",""),"/",""),"-","")),"00000000000"),"")</f>
        <v>30994850000113</v>
      </c>
      <c r="D339" s="5">
        <f>IFERROR('[1]R-2010'!J339,"")</f>
        <v>45931</v>
      </c>
      <c r="E339" s="15" t="str">
        <f>""</f>
        <v/>
      </c>
      <c r="F339" s="15"/>
      <c r="G339" s="16">
        <f>IFERROR('[1]R-2010'!L339,"")</f>
        <v>185879.88</v>
      </c>
      <c r="H339" s="17">
        <f t="shared" si="21"/>
        <v>0</v>
      </c>
      <c r="I339" s="17">
        <f t="shared" si="22"/>
        <v>0</v>
      </c>
      <c r="J339" s="17">
        <f t="shared" si="23"/>
        <v>0</v>
      </c>
    </row>
    <row r="340" spans="1:10" ht="13.5" thickBot="1">
      <c r="A340" s="15" t="str">
        <f>IF('[1]R-2010'!H340&lt;&gt;"","07974082000114","")</f>
        <v>07974082000114</v>
      </c>
      <c r="B340" s="15" t="str">
        <f t="shared" si="20"/>
        <v>07974082000114</v>
      </c>
      <c r="C340" s="15" t="str">
        <f>IFERROR(TEXT(VALUE(SUBSTITUTE(SUBSTITUTE(SUBSTITUTE('[1]R-2010'!H340,".",""),"/",""),"-","")),"00000000000"),"")</f>
        <v>30994850000113</v>
      </c>
      <c r="D340" s="5">
        <f>IFERROR('[1]R-2010'!J340,"")</f>
        <v>45931</v>
      </c>
      <c r="E340" s="15" t="str">
        <f>""</f>
        <v/>
      </c>
      <c r="F340" s="15"/>
      <c r="G340" s="16">
        <f>IFERROR('[1]R-2010'!L340,"")</f>
        <v>285888.17</v>
      </c>
      <c r="H340" s="17">
        <f t="shared" si="21"/>
        <v>0</v>
      </c>
      <c r="I340" s="17">
        <f t="shared" si="22"/>
        <v>0</v>
      </c>
      <c r="J340" s="17">
        <f t="shared" si="23"/>
        <v>0</v>
      </c>
    </row>
    <row r="341" spans="1:10" ht="13.5" thickBot="1">
      <c r="A341" s="15" t="str">
        <f>IF('[1]R-2010'!H341&lt;&gt;"","07974082000114","")</f>
        <v>07974082000114</v>
      </c>
      <c r="B341" s="15" t="str">
        <f t="shared" si="20"/>
        <v>07974082000114</v>
      </c>
      <c r="C341" s="15" t="str">
        <f>IFERROR(TEXT(VALUE(SUBSTITUTE(SUBSTITUTE(SUBSTITUTE('[1]R-2010'!H341,".",""),"/",""),"-","")),"00000000000"),"")</f>
        <v>15676890000123</v>
      </c>
      <c r="D341" s="5">
        <f>IFERROR('[1]R-2010'!J341,"")</f>
        <v>45962</v>
      </c>
      <c r="E341" s="15" t="str">
        <f>""</f>
        <v/>
      </c>
      <c r="F341" s="15"/>
      <c r="G341" s="16">
        <f>IFERROR('[1]R-2010'!L341,"")</f>
        <v>95070.15</v>
      </c>
      <c r="H341" s="17">
        <f t="shared" si="21"/>
        <v>0</v>
      </c>
      <c r="I341" s="17">
        <f t="shared" si="22"/>
        <v>0</v>
      </c>
      <c r="J341" s="17">
        <f t="shared" si="23"/>
        <v>0</v>
      </c>
    </row>
    <row r="342" spans="1:10" ht="13.5" thickBot="1">
      <c r="A342" s="15" t="str">
        <f>IF('[1]R-2010'!H342&lt;&gt;"","07974082000114","")</f>
        <v>07974082000114</v>
      </c>
      <c r="B342" s="15" t="str">
        <f t="shared" si="20"/>
        <v>07974082000114</v>
      </c>
      <c r="C342" s="15" t="str">
        <f>IFERROR(TEXT(VALUE(SUBSTITUTE(SUBSTITUTE(SUBSTITUTE('[1]R-2010'!H342,".",""),"/",""),"-","")),"00000000000"),"")</f>
        <v>22892840000149</v>
      </c>
      <c r="D342" s="5">
        <f>IFERROR('[1]R-2010'!J342,"")</f>
        <v>45962</v>
      </c>
      <c r="E342" s="15" t="str">
        <f>""</f>
        <v/>
      </c>
      <c r="F342" s="15"/>
      <c r="G342" s="16">
        <f>IFERROR('[1]R-2010'!L342,"")</f>
        <v>55417.95</v>
      </c>
      <c r="H342" s="17">
        <f t="shared" si="21"/>
        <v>0</v>
      </c>
      <c r="I342" s="17">
        <f t="shared" si="22"/>
        <v>0</v>
      </c>
      <c r="J342" s="17">
        <f t="shared" si="23"/>
        <v>0</v>
      </c>
    </row>
    <row r="343" spans="1:10" ht="13.5" thickBot="1">
      <c r="A343" s="15" t="str">
        <f>IF('[1]R-2010'!H343&lt;&gt;"","07974082000114","")</f>
        <v>07974082000114</v>
      </c>
      <c r="B343" s="15" t="str">
        <f t="shared" si="20"/>
        <v>07974082000114</v>
      </c>
      <c r="C343" s="15" t="str">
        <f>IFERROR(TEXT(VALUE(SUBSTITUTE(SUBSTITUTE(SUBSTITUTE('[1]R-2010'!H343,".",""),"/",""),"-","")),"00000000000"),"")</f>
        <v>22892840000149</v>
      </c>
      <c r="D343" s="5">
        <f>IFERROR('[1]R-2010'!J343,"")</f>
        <v>45962</v>
      </c>
      <c r="E343" s="15" t="str">
        <f>""</f>
        <v/>
      </c>
      <c r="F343" s="15"/>
      <c r="G343" s="16">
        <f>IFERROR('[1]R-2010'!L343,"")</f>
        <v>165099.29</v>
      </c>
      <c r="H343" s="17">
        <f t="shared" si="21"/>
        <v>0</v>
      </c>
      <c r="I343" s="17">
        <f t="shared" si="22"/>
        <v>0</v>
      </c>
      <c r="J343" s="17">
        <f t="shared" si="23"/>
        <v>0</v>
      </c>
    </row>
    <row r="344" spans="1:10" ht="13.5" thickBot="1">
      <c r="A344" s="15" t="str">
        <f>IF('[1]R-2010'!H344&lt;&gt;"","07974082000114","")</f>
        <v>07974082000114</v>
      </c>
      <c r="B344" s="15" t="str">
        <f t="shared" si="20"/>
        <v>07974082000114</v>
      </c>
      <c r="C344" s="15" t="str">
        <f>IFERROR(TEXT(VALUE(SUBSTITUTE(SUBSTITUTE(SUBSTITUTE('[1]R-2010'!H344,".",""),"/",""),"-","")),"00000000000"),"")</f>
        <v>22892840000149</v>
      </c>
      <c r="D344" s="5">
        <f>IFERROR('[1]R-2010'!J344,"")</f>
        <v>45962</v>
      </c>
      <c r="E344" s="15" t="str">
        <f>""</f>
        <v/>
      </c>
      <c r="F344" s="15"/>
      <c r="G344" s="16">
        <f>IFERROR('[1]R-2010'!L344,"")</f>
        <v>243653.21</v>
      </c>
      <c r="H344" s="17">
        <f t="shared" si="21"/>
        <v>0</v>
      </c>
      <c r="I344" s="17">
        <f t="shared" si="22"/>
        <v>0</v>
      </c>
      <c r="J344" s="17">
        <f t="shared" si="23"/>
        <v>0</v>
      </c>
    </row>
    <row r="345" spans="1:10" ht="13.5" thickBot="1">
      <c r="A345" s="15" t="str">
        <f>IF('[1]R-2010'!H345&lt;&gt;"","07974082000114","")</f>
        <v>07974082000114</v>
      </c>
      <c r="B345" s="15" t="str">
        <f t="shared" si="20"/>
        <v>07974082000114</v>
      </c>
      <c r="C345" s="15" t="str">
        <f>IFERROR(TEXT(VALUE(SUBSTITUTE(SUBSTITUTE(SUBSTITUTE('[1]R-2010'!H345,".",""),"/",""),"-","")),"00000000000"),"")</f>
        <v>22892840000149</v>
      </c>
      <c r="D345" s="5">
        <f>IFERROR('[1]R-2010'!J345,"")</f>
        <v>45962</v>
      </c>
      <c r="E345" s="15" t="str">
        <f>""</f>
        <v/>
      </c>
      <c r="F345" s="15"/>
      <c r="G345" s="16">
        <f>IFERROR('[1]R-2010'!L345,"")</f>
        <v>248116.62</v>
      </c>
      <c r="H345" s="17">
        <f t="shared" si="21"/>
        <v>0</v>
      </c>
      <c r="I345" s="17">
        <f t="shared" si="22"/>
        <v>0</v>
      </c>
      <c r="J345" s="17">
        <f t="shared" si="23"/>
        <v>0</v>
      </c>
    </row>
    <row r="346" spans="1:10" ht="13.5" thickBot="1">
      <c r="A346" s="15" t="str">
        <f>IF('[1]R-2010'!H346&lt;&gt;"","07974082000114","")</f>
        <v>07974082000114</v>
      </c>
      <c r="B346" s="15" t="str">
        <f t="shared" si="20"/>
        <v>07974082000114</v>
      </c>
      <c r="C346" s="15" t="str">
        <f>IFERROR(TEXT(VALUE(SUBSTITUTE(SUBSTITUTE(SUBSTITUTE('[1]R-2010'!H346,".",""),"/",""),"-","")),"00000000000"),"")</f>
        <v>3420933000126</v>
      </c>
      <c r="D346" s="5">
        <f>IFERROR('[1]R-2010'!J346,"")</f>
        <v>45962</v>
      </c>
      <c r="E346" s="15" t="str">
        <f>""</f>
        <v/>
      </c>
      <c r="F346" s="15"/>
      <c r="G346" s="16">
        <f>IFERROR('[1]R-2010'!L346,"")</f>
        <v>711.58</v>
      </c>
      <c r="H346" s="17">
        <f t="shared" si="21"/>
        <v>0</v>
      </c>
      <c r="I346" s="17">
        <f t="shared" si="22"/>
        <v>0</v>
      </c>
      <c r="J346" s="17">
        <f t="shared" si="23"/>
        <v>0</v>
      </c>
    </row>
    <row r="347" spans="1:10" ht="13.5" thickBot="1">
      <c r="A347" s="15" t="str">
        <f>IF('[1]R-2010'!H347&lt;&gt;"","07974082000114","")</f>
        <v>07974082000114</v>
      </c>
      <c r="B347" s="15" t="str">
        <f t="shared" si="20"/>
        <v>07974082000114</v>
      </c>
      <c r="C347" s="15" t="str">
        <f>IFERROR(TEXT(VALUE(SUBSTITUTE(SUBSTITUTE(SUBSTITUTE('[1]R-2010'!H347,".",""),"/",""),"-","")),"00000000000"),"")</f>
        <v>3420933000126</v>
      </c>
      <c r="D347" s="5">
        <f>IFERROR('[1]R-2010'!J347,"")</f>
        <v>45962</v>
      </c>
      <c r="E347" s="15" t="str">
        <f>""</f>
        <v/>
      </c>
      <c r="F347" s="15"/>
      <c r="G347" s="16">
        <f>IFERROR('[1]R-2010'!L347,"")</f>
        <v>2847.26</v>
      </c>
      <c r="H347" s="17">
        <f t="shared" si="21"/>
        <v>0</v>
      </c>
      <c r="I347" s="17">
        <f t="shared" si="22"/>
        <v>0</v>
      </c>
      <c r="J347" s="17">
        <f t="shared" si="23"/>
        <v>0</v>
      </c>
    </row>
    <row r="348" spans="1:10" ht="13.5" thickBot="1">
      <c r="A348" s="15" t="str">
        <f>IF('[1]R-2010'!H348&lt;&gt;"","07974082000114","")</f>
        <v>07974082000114</v>
      </c>
      <c r="B348" s="15" t="str">
        <f t="shared" si="20"/>
        <v>07974082000114</v>
      </c>
      <c r="C348" s="15" t="str">
        <f>IFERROR(TEXT(VALUE(SUBSTITUTE(SUBSTITUTE(SUBSTITUTE('[1]R-2010'!H348,".",""),"/",""),"-","")),"00000000000"),"")</f>
        <v>3420933000126</v>
      </c>
      <c r="D348" s="5">
        <f>IFERROR('[1]R-2010'!J348,"")</f>
        <v>45962</v>
      </c>
      <c r="E348" s="15" t="str">
        <f>""</f>
        <v/>
      </c>
      <c r="F348" s="15"/>
      <c r="G348" s="16">
        <f>IFERROR('[1]R-2010'!L348,"")</f>
        <v>14657.5</v>
      </c>
      <c r="H348" s="17">
        <f t="shared" si="21"/>
        <v>0</v>
      </c>
      <c r="I348" s="17">
        <f t="shared" si="22"/>
        <v>0</v>
      </c>
      <c r="J348" s="17">
        <f t="shared" si="23"/>
        <v>0</v>
      </c>
    </row>
    <row r="349" spans="1:10" ht="13.5" thickBot="1">
      <c r="A349" s="15" t="str">
        <f>IF('[1]R-2010'!H349&lt;&gt;"","07974082000114","")</f>
        <v>07974082000114</v>
      </c>
      <c r="B349" s="15" t="str">
        <f t="shared" si="20"/>
        <v>07974082000114</v>
      </c>
      <c r="C349" s="15" t="str">
        <f>IFERROR(TEXT(VALUE(SUBSTITUTE(SUBSTITUTE(SUBSTITUTE('[1]R-2010'!H349,".",""),"/",""),"-","")),"00000000000"),"")</f>
        <v>30994850000113</v>
      </c>
      <c r="D349" s="5">
        <f>IFERROR('[1]R-2010'!J349,"")</f>
        <v>45962</v>
      </c>
      <c r="E349" s="15" t="str">
        <f>""</f>
        <v/>
      </c>
      <c r="F349" s="15"/>
      <c r="G349" s="16">
        <f>IFERROR('[1]R-2010'!L349,"")</f>
        <v>345029.93</v>
      </c>
      <c r="H349" s="17">
        <f t="shared" si="21"/>
        <v>0</v>
      </c>
      <c r="I349" s="17">
        <f t="shared" si="22"/>
        <v>0</v>
      </c>
      <c r="J349" s="17">
        <f t="shared" si="23"/>
        <v>0</v>
      </c>
    </row>
    <row r="350" spans="1:10" ht="13.5" thickBot="1">
      <c r="A350" s="15" t="str">
        <f>IF('[1]R-2010'!H350&lt;&gt;"","07974082000114","")</f>
        <v>07974082000114</v>
      </c>
      <c r="B350" s="15" t="str">
        <f t="shared" si="20"/>
        <v>07974082000114</v>
      </c>
      <c r="C350" s="15" t="str">
        <f>IFERROR(TEXT(VALUE(SUBSTITUTE(SUBSTITUTE(SUBSTITUTE('[1]R-2010'!H350,".",""),"/",""),"-","")),"00000000000"),"")</f>
        <v>69374585000106</v>
      </c>
      <c r="D350" s="5">
        <f>IFERROR('[1]R-2010'!J350,"")</f>
        <v>45962</v>
      </c>
      <c r="E350" s="15" t="str">
        <f>""</f>
        <v/>
      </c>
      <c r="F350" s="15"/>
      <c r="G350" s="16">
        <f>IFERROR('[1]R-2010'!L350,"")</f>
        <v>250000</v>
      </c>
      <c r="H350" s="17">
        <f t="shared" si="21"/>
        <v>0</v>
      </c>
      <c r="I350" s="17">
        <f t="shared" si="22"/>
        <v>0</v>
      </c>
      <c r="J350" s="17">
        <f t="shared" si="23"/>
        <v>0</v>
      </c>
    </row>
    <row r="351" spans="1:10" ht="13.5" thickBot="1">
      <c r="A351" s="15" t="str">
        <f>IF('[1]R-2010'!H351&lt;&gt;"","07974082000114","")</f>
        <v>07974082000114</v>
      </c>
      <c r="B351" s="15" t="str">
        <f t="shared" si="20"/>
        <v>07974082000114</v>
      </c>
      <c r="C351" s="15" t="str">
        <f>IFERROR(TEXT(VALUE(SUBSTITUTE(SUBSTITUTE(SUBSTITUTE('[1]R-2010'!H351,".",""),"/",""),"-","")),"00000000000"),"")</f>
        <v>3420933000126</v>
      </c>
      <c r="D351" s="5">
        <f>IFERROR('[1]R-2010'!J351,"")</f>
        <v>45962</v>
      </c>
      <c r="E351" s="15" t="str">
        <f>""</f>
        <v/>
      </c>
      <c r="F351" s="15"/>
      <c r="G351" s="16">
        <f>IFERROR('[1]R-2010'!L351,"")</f>
        <v>5938.84</v>
      </c>
      <c r="H351" s="17">
        <f t="shared" si="21"/>
        <v>0</v>
      </c>
      <c r="I351" s="17">
        <f t="shared" si="22"/>
        <v>0</v>
      </c>
      <c r="J351" s="17">
        <f t="shared" si="23"/>
        <v>0</v>
      </c>
    </row>
    <row r="352" spans="1:10" ht="13.5" thickBot="1">
      <c r="A352" s="15" t="str">
        <f>IF('[1]R-2010'!H352&lt;&gt;"","07974082000114","")</f>
        <v>07974082000114</v>
      </c>
      <c r="B352" s="15" t="str">
        <f t="shared" si="20"/>
        <v>07974082000114</v>
      </c>
      <c r="C352" s="15" t="str">
        <f>IFERROR(TEXT(VALUE(SUBSTITUTE(SUBSTITUTE(SUBSTITUTE('[1]R-2010'!H352,".",""),"/",""),"-","")),"00000000000"),"")</f>
        <v>3420933000126</v>
      </c>
      <c r="D352" s="5">
        <f>IFERROR('[1]R-2010'!J352,"")</f>
        <v>45962</v>
      </c>
      <c r="E352" s="15" t="str">
        <f>""</f>
        <v/>
      </c>
      <c r="F352" s="15"/>
      <c r="G352" s="16">
        <f>IFERROR('[1]R-2010'!L352,"")</f>
        <v>23400</v>
      </c>
      <c r="H352" s="17">
        <f t="shared" si="21"/>
        <v>0</v>
      </c>
      <c r="I352" s="17">
        <f t="shared" si="22"/>
        <v>0</v>
      </c>
      <c r="J352" s="17">
        <f t="shared" si="23"/>
        <v>0</v>
      </c>
    </row>
    <row r="353" spans="1:10" ht="13.5" thickBot="1">
      <c r="A353" s="15" t="str">
        <f>IF('[1]R-2010'!H353&lt;&gt;"","07974082000114","")</f>
        <v>07974082000114</v>
      </c>
      <c r="B353" s="15" t="str">
        <f t="shared" si="20"/>
        <v>07974082000114</v>
      </c>
      <c r="C353" s="15" t="str">
        <f>IFERROR(TEXT(VALUE(SUBSTITUTE(SUBSTITUTE(SUBSTITUTE('[1]R-2010'!H353,".",""),"/",""),"-","")),"00000000000"),"")</f>
        <v>3420933000126</v>
      </c>
      <c r="D353" s="5">
        <f>IFERROR('[1]R-2010'!J353,"")</f>
        <v>45962</v>
      </c>
      <c r="E353" s="15" t="str">
        <f>""</f>
        <v/>
      </c>
      <c r="F353" s="15"/>
      <c r="G353" s="16">
        <f>IFERROR('[1]R-2010'!L353,"")</f>
        <v>23400</v>
      </c>
      <c r="H353" s="17">
        <f t="shared" si="21"/>
        <v>0</v>
      </c>
      <c r="I353" s="17">
        <f t="shared" si="22"/>
        <v>0</v>
      </c>
      <c r="J353" s="17">
        <f t="shared" si="23"/>
        <v>0</v>
      </c>
    </row>
    <row r="354" spans="1:10" ht="13.5" thickBot="1">
      <c r="A354" s="15" t="str">
        <f>IF('[1]R-2010'!H354&lt;&gt;"","07974082000114","")</f>
        <v>07974082000114</v>
      </c>
      <c r="B354" s="15" t="str">
        <f t="shared" si="20"/>
        <v>07974082000114</v>
      </c>
      <c r="C354" s="15" t="str">
        <f>IFERROR(TEXT(VALUE(SUBSTITUTE(SUBSTITUTE(SUBSTITUTE('[1]R-2010'!H354,".",""),"/",""),"-","")),"00000000000"),"")</f>
        <v>3420933000126</v>
      </c>
      <c r="D354" s="5">
        <f>IFERROR('[1]R-2010'!J354,"")</f>
        <v>45962</v>
      </c>
      <c r="E354" s="15" t="str">
        <f>""</f>
        <v/>
      </c>
      <c r="F354" s="15"/>
      <c r="G354" s="16">
        <f>IFERROR('[1]R-2010'!L354,"")</f>
        <v>23400</v>
      </c>
      <c r="H354" s="17">
        <f t="shared" si="21"/>
        <v>0</v>
      </c>
      <c r="I354" s="17">
        <f t="shared" si="22"/>
        <v>0</v>
      </c>
      <c r="J354" s="17">
        <f t="shared" si="23"/>
        <v>0</v>
      </c>
    </row>
    <row r="355" spans="1:10" ht="13.5" thickBot="1">
      <c r="A355" s="15" t="str">
        <f>IF('[1]R-2010'!H355&lt;&gt;"","07974082000114","")</f>
        <v>07974082000114</v>
      </c>
      <c r="B355" s="15" t="str">
        <f t="shared" si="20"/>
        <v>07974082000114</v>
      </c>
      <c r="C355" s="15" t="str">
        <f>IFERROR(TEXT(VALUE(SUBSTITUTE(SUBSTITUTE(SUBSTITUTE('[1]R-2010'!H355,".",""),"/",""),"-","")),"00000000000"),"")</f>
        <v>3420933000126</v>
      </c>
      <c r="D355" s="5">
        <f>IFERROR('[1]R-2010'!J355,"")</f>
        <v>45962</v>
      </c>
      <c r="E355" s="15" t="str">
        <f>""</f>
        <v/>
      </c>
      <c r="F355" s="15"/>
      <c r="G355" s="16">
        <f>IFERROR('[1]R-2010'!L355,"")</f>
        <v>30810.3</v>
      </c>
      <c r="H355" s="17">
        <f t="shared" si="21"/>
        <v>0</v>
      </c>
      <c r="I355" s="17">
        <f t="shared" si="22"/>
        <v>0</v>
      </c>
      <c r="J355" s="17">
        <f t="shared" si="23"/>
        <v>0</v>
      </c>
    </row>
    <row r="356" spans="1:10" ht="13.5" thickBot="1">
      <c r="A356" s="15" t="str">
        <f>IF('[1]R-2010'!H356&lt;&gt;"","07974082000114","")</f>
        <v>07974082000114</v>
      </c>
      <c r="B356" s="15" t="str">
        <f t="shared" si="20"/>
        <v>07974082000114</v>
      </c>
      <c r="C356" s="15" t="str">
        <f>IFERROR(TEXT(VALUE(SUBSTITUTE(SUBSTITUTE(SUBSTITUTE('[1]R-2010'!H356,".",""),"/",""),"-","")),"00000000000"),"")</f>
        <v>3420933000126</v>
      </c>
      <c r="D356" s="5">
        <f>IFERROR('[1]R-2010'!J356,"")</f>
        <v>45962</v>
      </c>
      <c r="E356" s="15" t="str">
        <f>""</f>
        <v/>
      </c>
      <c r="F356" s="15"/>
      <c r="G356" s="16">
        <f>IFERROR('[1]R-2010'!L356,"")</f>
        <v>31437.32</v>
      </c>
      <c r="H356" s="17">
        <f t="shared" si="21"/>
        <v>0</v>
      </c>
      <c r="I356" s="17">
        <f t="shared" si="22"/>
        <v>0</v>
      </c>
      <c r="J356" s="17">
        <f t="shared" si="23"/>
        <v>0</v>
      </c>
    </row>
    <row r="357" spans="1:10" ht="13.5" thickBot="1">
      <c r="A357" s="15" t="str">
        <f>IF('[1]R-2010'!H357&lt;&gt;"","07974082000114","")</f>
        <v>07974082000114</v>
      </c>
      <c r="B357" s="15" t="str">
        <f t="shared" si="20"/>
        <v>07974082000114</v>
      </c>
      <c r="C357" s="15" t="str">
        <f>IFERROR(TEXT(VALUE(SUBSTITUTE(SUBSTITUTE(SUBSTITUTE('[1]R-2010'!H357,".",""),"/",""),"-","")),"00000000000"),"")</f>
        <v>3420933000126</v>
      </c>
      <c r="D357" s="5">
        <f>IFERROR('[1]R-2010'!J357,"")</f>
        <v>45962</v>
      </c>
      <c r="E357" s="15" t="str">
        <f>""</f>
        <v/>
      </c>
      <c r="F357" s="15"/>
      <c r="G357" s="16">
        <f>IFERROR('[1]R-2010'!L357,"")</f>
        <v>56336.36</v>
      </c>
      <c r="H357" s="17">
        <f t="shared" si="21"/>
        <v>0</v>
      </c>
      <c r="I357" s="17">
        <f t="shared" si="22"/>
        <v>0</v>
      </c>
      <c r="J357" s="17">
        <f t="shared" si="23"/>
        <v>0</v>
      </c>
    </row>
    <row r="358" spans="1:10" ht="13.5" thickBot="1">
      <c r="A358" s="15" t="str">
        <f>IF('[1]R-2010'!H358&lt;&gt;"","07974082000114","")</f>
        <v>07974082000114</v>
      </c>
      <c r="B358" s="15" t="str">
        <f t="shared" si="20"/>
        <v>07974082000114</v>
      </c>
      <c r="C358" s="15" t="str">
        <f>IFERROR(TEXT(VALUE(SUBSTITUTE(SUBSTITUTE(SUBSTITUTE('[1]R-2010'!H358,".",""),"/",""),"-","")),"00000000000"),"")</f>
        <v>2130122000128</v>
      </c>
      <c r="D358" s="5">
        <f>IFERROR('[1]R-2010'!J358,"")</f>
        <v>45962</v>
      </c>
      <c r="E358" s="15" t="str">
        <f>""</f>
        <v/>
      </c>
      <c r="F358" s="15"/>
      <c r="G358" s="16">
        <f>IFERROR('[1]R-2010'!L358,"")</f>
        <v>1150</v>
      </c>
      <c r="H358" s="17">
        <f t="shared" si="21"/>
        <v>0</v>
      </c>
      <c r="I358" s="17">
        <f t="shared" si="22"/>
        <v>0</v>
      </c>
      <c r="J358" s="17">
        <f t="shared" si="23"/>
        <v>0</v>
      </c>
    </row>
    <row r="359" spans="1:10" ht="13.5" thickBot="1">
      <c r="A359" s="15" t="str">
        <f>IF('[1]R-2010'!H359&lt;&gt;"","07974082000114","")</f>
        <v>07974082000114</v>
      </c>
      <c r="B359" s="15" t="str">
        <f t="shared" si="20"/>
        <v>07974082000114</v>
      </c>
      <c r="C359" s="15" t="str">
        <f>IFERROR(TEXT(VALUE(SUBSTITUTE(SUBSTITUTE(SUBSTITUTE('[1]R-2010'!H359,".",""),"/",""),"-","")),"00000000000"),"")</f>
        <v>33921755000188</v>
      </c>
      <c r="D359" s="5">
        <f>IFERROR('[1]R-2010'!J359,"")</f>
        <v>45962</v>
      </c>
      <c r="E359" s="15" t="str">
        <f>""</f>
        <v/>
      </c>
      <c r="F359" s="15"/>
      <c r="G359" s="16">
        <f>IFERROR('[1]R-2010'!L359,"")</f>
        <v>4700</v>
      </c>
      <c r="H359" s="17">
        <f t="shared" si="21"/>
        <v>0</v>
      </c>
      <c r="I359" s="17">
        <f t="shared" si="22"/>
        <v>0</v>
      </c>
      <c r="J359" s="17">
        <f t="shared" si="23"/>
        <v>0</v>
      </c>
    </row>
    <row r="360" spans="1:10" ht="13.5" thickBot="1">
      <c r="A360" s="15" t="str">
        <f>IF('[1]R-2010'!H360&lt;&gt;"","07974082000114","")</f>
        <v>07974082000114</v>
      </c>
      <c r="B360" s="15" t="str">
        <f t="shared" si="20"/>
        <v>07974082000114</v>
      </c>
      <c r="C360" s="15" t="str">
        <f>IFERROR(TEXT(VALUE(SUBSTITUTE(SUBSTITUTE(SUBSTITUTE('[1]R-2010'!H360,".",""),"/",""),"-","")),"00000000000"),"")</f>
        <v>4238951000154</v>
      </c>
      <c r="D360" s="5">
        <f>IFERROR('[1]R-2010'!J360,"")</f>
        <v>45962</v>
      </c>
      <c r="E360" s="15" t="str">
        <f>""</f>
        <v/>
      </c>
      <c r="F360" s="15"/>
      <c r="G360" s="16">
        <f>IFERROR('[1]R-2010'!L360,"")</f>
        <v>20700</v>
      </c>
      <c r="H360" s="17">
        <f t="shared" si="21"/>
        <v>0</v>
      </c>
      <c r="I360" s="17">
        <f t="shared" si="22"/>
        <v>0</v>
      </c>
      <c r="J360" s="17">
        <f t="shared" si="23"/>
        <v>0</v>
      </c>
    </row>
    <row r="361" spans="1:10" ht="13.5" thickBot="1">
      <c r="A361" s="15" t="str">
        <f>IF('[1]R-2010'!H361&lt;&gt;"","07974082000114","")</f>
        <v>07974082000114</v>
      </c>
      <c r="B361" s="15" t="str">
        <f t="shared" si="20"/>
        <v>07974082000114</v>
      </c>
      <c r="C361" s="15" t="str">
        <f>IFERROR(TEXT(VALUE(SUBSTITUTE(SUBSTITUTE(SUBSTITUTE('[1]R-2010'!H361,".",""),"/",""),"-","")),"00000000000"),"")</f>
        <v>44444145000157</v>
      </c>
      <c r="D361" s="5">
        <f>IFERROR('[1]R-2010'!J361,"")</f>
        <v>45962</v>
      </c>
      <c r="E361" s="15" t="str">
        <f>""</f>
        <v/>
      </c>
      <c r="F361" s="15"/>
      <c r="G361" s="16">
        <f>IFERROR('[1]R-2010'!L361,"")</f>
        <v>1648.8</v>
      </c>
      <c r="H361" s="17">
        <f t="shared" si="21"/>
        <v>0</v>
      </c>
      <c r="I361" s="17">
        <f t="shared" si="22"/>
        <v>0</v>
      </c>
      <c r="J361" s="17">
        <f t="shared" si="23"/>
        <v>0</v>
      </c>
    </row>
    <row r="362" spans="1:10" ht="13.5" thickBot="1">
      <c r="A362" s="4"/>
      <c r="B362" s="4"/>
      <c r="C362" s="4"/>
      <c r="D362" s="5"/>
      <c r="E362" s="4"/>
      <c r="F362" s="4"/>
      <c r="G362" s="6"/>
      <c r="H362" s="6"/>
      <c r="I362" s="6"/>
      <c r="J362" s="6"/>
    </row>
    <row r="363" spans="1:10" ht="13.5" thickBot="1">
      <c r="A363" s="4"/>
      <c r="B363" s="4"/>
      <c r="C363" s="4"/>
      <c r="D363" s="5"/>
      <c r="E363" s="4"/>
      <c r="F363" s="4"/>
      <c r="G363" s="6"/>
      <c r="H363" s="6"/>
      <c r="I363" s="6"/>
      <c r="J363" s="6"/>
    </row>
    <row r="364" spans="1:10" ht="13.5" thickBot="1">
      <c r="A364" s="4"/>
      <c r="B364" s="4"/>
      <c r="C364" s="4"/>
      <c r="D364" s="5"/>
      <c r="E364" s="4"/>
      <c r="F364" s="4"/>
      <c r="G364" s="6"/>
      <c r="H364" s="6"/>
      <c r="I364" s="6"/>
      <c r="J364" s="6"/>
    </row>
    <row r="365" spans="1:10" ht="13.5" thickBot="1">
      <c r="A365" s="4"/>
      <c r="B365" s="4"/>
      <c r="C365" s="4"/>
      <c r="D365" s="5"/>
      <c r="E365" s="4"/>
      <c r="F365" s="4"/>
      <c r="G365" s="6"/>
      <c r="H365" s="6"/>
      <c r="I365" s="6"/>
      <c r="J365" s="6"/>
    </row>
    <row r="366" spans="1:10" ht="13.5" thickBot="1">
      <c r="A366" s="4"/>
      <c r="B366" s="4"/>
      <c r="C366" s="4"/>
      <c r="D366" s="5"/>
      <c r="E366" s="4"/>
      <c r="F366" s="4"/>
      <c r="G366" s="6"/>
      <c r="H366" s="6"/>
      <c r="I366" s="6"/>
      <c r="J366" s="6"/>
    </row>
    <row r="367" spans="1:10" ht="13.5" thickBot="1">
      <c r="A367" s="4"/>
      <c r="B367" s="4"/>
      <c r="C367" s="4"/>
      <c r="D367" s="5"/>
      <c r="E367" s="4"/>
      <c r="F367" s="4"/>
      <c r="G367" s="6"/>
      <c r="H367" s="6"/>
      <c r="I367" s="6"/>
      <c r="J367" s="6"/>
    </row>
    <row r="368" spans="1:10" ht="13.5" thickBot="1">
      <c r="A368" s="4"/>
      <c r="B368" s="4"/>
      <c r="C368" s="4"/>
      <c r="D368" s="5"/>
      <c r="E368" s="4"/>
      <c r="F368" s="4"/>
      <c r="G368" s="6"/>
      <c r="H368" s="6"/>
      <c r="I368" s="6"/>
      <c r="J368" s="6"/>
    </row>
    <row r="369" spans="1:10" ht="13.5" thickBot="1">
      <c r="A369" s="4"/>
      <c r="B369" s="4"/>
      <c r="C369" s="4"/>
      <c r="D369" s="5"/>
      <c r="E369" s="4"/>
      <c r="F369" s="4"/>
      <c r="G369" s="6"/>
      <c r="H369" s="6"/>
      <c r="I369" s="6"/>
      <c r="J369" s="6"/>
    </row>
    <row r="370" spans="1:10" ht="13.5" thickBot="1">
      <c r="A370" s="4"/>
      <c r="B370" s="4"/>
      <c r="C370" s="4"/>
      <c r="D370" s="5"/>
      <c r="E370" s="4"/>
      <c r="F370" s="4"/>
      <c r="G370" s="6"/>
      <c r="H370" s="6"/>
      <c r="I370" s="6"/>
      <c r="J370" s="6"/>
    </row>
    <row r="371" spans="1:10" ht="13.5" thickBot="1">
      <c r="A371" s="4"/>
      <c r="B371" s="4"/>
      <c r="C371" s="4"/>
      <c r="D371" s="5"/>
      <c r="E371" s="4"/>
      <c r="F371" s="4"/>
      <c r="G371" s="6"/>
      <c r="H371" s="6"/>
      <c r="I371" s="6"/>
      <c r="J371" s="6"/>
    </row>
    <row r="372" spans="1:10" ht="13.5" thickBot="1">
      <c r="A372" s="4"/>
      <c r="B372" s="4"/>
      <c r="C372" s="4"/>
      <c r="D372" s="5"/>
      <c r="E372" s="4"/>
      <c r="F372" s="4"/>
      <c r="G372" s="6"/>
      <c r="H372" s="6"/>
      <c r="I372" s="6"/>
      <c r="J372" s="6"/>
    </row>
    <row r="373" spans="1:10" ht="13.5" thickBot="1">
      <c r="A373" s="4"/>
      <c r="B373" s="4"/>
      <c r="C373" s="4"/>
      <c r="D373" s="5"/>
      <c r="E373" s="4"/>
      <c r="F373" s="4"/>
      <c r="G373" s="6"/>
      <c r="H373" s="6"/>
      <c r="I373" s="6"/>
      <c r="J373" s="6"/>
    </row>
    <row r="374" spans="1:10" ht="13.5" thickBot="1">
      <c r="A374" s="4"/>
      <c r="B374" s="4"/>
      <c r="C374" s="4"/>
      <c r="D374" s="5"/>
      <c r="E374" s="4"/>
      <c r="F374" s="4"/>
      <c r="G374" s="6"/>
      <c r="H374" s="6"/>
      <c r="I374" s="6"/>
      <c r="J374" s="6"/>
    </row>
    <row r="375" spans="1:10" ht="13.5" thickBot="1">
      <c r="A375" s="4"/>
      <c r="B375" s="4"/>
      <c r="C375" s="4"/>
      <c r="D375" s="5"/>
      <c r="E375" s="4"/>
      <c r="F375" s="4"/>
      <c r="G375" s="6"/>
      <c r="H375" s="6"/>
      <c r="I375" s="6"/>
      <c r="J375" s="6"/>
    </row>
    <row r="376" spans="1:10" ht="13.5" thickBot="1">
      <c r="A376" s="4"/>
      <c r="B376" s="4"/>
      <c r="C376" s="4"/>
      <c r="D376" s="5"/>
      <c r="E376" s="4"/>
      <c r="F376" s="4"/>
      <c r="G376" s="6"/>
      <c r="H376" s="6"/>
      <c r="I376" s="6"/>
      <c r="J376" s="6"/>
    </row>
    <row r="377" spans="1:10" ht="13.5" thickBot="1">
      <c r="A377" s="4"/>
      <c r="B377" s="4"/>
      <c r="C377" s="4"/>
      <c r="D377" s="5"/>
      <c r="E377" s="4"/>
      <c r="F377" s="4"/>
      <c r="G377" s="6"/>
      <c r="H377" s="6"/>
      <c r="I377" s="6"/>
      <c r="J377" s="6"/>
    </row>
    <row r="378" spans="1:10" ht="13.5" thickBot="1">
      <c r="A378" s="4"/>
      <c r="B378" s="4"/>
      <c r="C378" s="4"/>
      <c r="D378" s="5"/>
      <c r="E378" s="4"/>
      <c r="F378" s="4"/>
      <c r="G378" s="6"/>
      <c r="H378" s="6"/>
      <c r="I378" s="6"/>
      <c r="J378" s="6"/>
    </row>
    <row r="379" spans="1:10" ht="13.5" thickBot="1">
      <c r="A379" s="4"/>
      <c r="B379" s="4"/>
      <c r="C379" s="4"/>
      <c r="D379" s="5"/>
      <c r="E379" s="4"/>
      <c r="F379" s="4"/>
      <c r="G379" s="6"/>
      <c r="H379" s="6"/>
      <c r="I379" s="6"/>
      <c r="J379" s="6"/>
    </row>
    <row r="380" spans="1:10" ht="13.5" thickBot="1">
      <c r="A380" s="4"/>
      <c r="B380" s="4"/>
      <c r="C380" s="4"/>
      <c r="D380" s="5"/>
      <c r="E380" s="4"/>
      <c r="F380" s="4"/>
      <c r="G380" s="6"/>
      <c r="H380" s="6"/>
      <c r="I380" s="6"/>
      <c r="J380" s="6"/>
    </row>
    <row r="381" spans="1:10" ht="13.5" thickBot="1">
      <c r="A381" s="4"/>
      <c r="B381" s="4"/>
      <c r="C381" s="4"/>
      <c r="D381" s="5"/>
      <c r="E381" s="4"/>
      <c r="F381" s="4"/>
      <c r="G381" s="6"/>
      <c r="H381" s="6"/>
      <c r="I381" s="6"/>
      <c r="J381" s="6"/>
    </row>
    <row r="382" spans="1:10" ht="13.5" thickBot="1">
      <c r="A382" s="4"/>
      <c r="B382" s="4"/>
      <c r="C382" s="4"/>
      <c r="D382" s="5"/>
      <c r="E382" s="4"/>
      <c r="F382" s="4"/>
      <c r="G382" s="6"/>
      <c r="H382" s="6"/>
      <c r="I382" s="6"/>
      <c r="J382" s="6"/>
    </row>
    <row r="383" spans="1:10" ht="13.5" thickBot="1">
      <c r="A383" s="4"/>
      <c r="B383" s="4"/>
      <c r="C383" s="4"/>
      <c r="D383" s="5"/>
      <c r="E383" s="4"/>
      <c r="F383" s="4"/>
      <c r="G383" s="6"/>
      <c r="H383" s="6"/>
      <c r="I383" s="6"/>
      <c r="J383" s="6"/>
    </row>
    <row r="384" spans="1:10" ht="13.5" thickBot="1">
      <c r="A384" s="4"/>
      <c r="B384" s="4"/>
      <c r="C384" s="4"/>
      <c r="D384" s="5"/>
      <c r="E384" s="4"/>
      <c r="F384" s="4"/>
      <c r="G384" s="6"/>
      <c r="H384" s="6"/>
      <c r="I384" s="6"/>
      <c r="J384" s="6"/>
    </row>
    <row r="385" spans="1:10" ht="13.5" thickBot="1">
      <c r="A385" s="4"/>
      <c r="B385" s="4"/>
      <c r="C385" s="4"/>
      <c r="D385" s="5"/>
      <c r="E385" s="4"/>
      <c r="F385" s="4"/>
      <c r="G385" s="6"/>
      <c r="H385" s="6"/>
      <c r="I385" s="6"/>
      <c r="J385" s="6"/>
    </row>
    <row r="386" spans="1:10" ht="13.5" thickBot="1">
      <c r="A386" s="4"/>
      <c r="B386" s="4"/>
      <c r="C386" s="4"/>
      <c r="D386" s="5"/>
      <c r="E386" s="4"/>
      <c r="F386" s="4"/>
      <c r="G386" s="6"/>
      <c r="H386" s="6"/>
      <c r="I386" s="6"/>
      <c r="J386" s="6"/>
    </row>
    <row r="387" spans="1:10" ht="13.5" thickBot="1">
      <c r="A387" s="4"/>
      <c r="B387" s="4"/>
      <c r="C387" s="4"/>
      <c r="D387" s="5"/>
      <c r="E387" s="4"/>
      <c r="F387" s="4"/>
      <c r="G387" s="6"/>
      <c r="H387" s="6"/>
      <c r="I387" s="6"/>
      <c r="J387" s="6"/>
    </row>
    <row r="388" spans="1:10" ht="13.5" thickBot="1">
      <c r="A388" s="4"/>
      <c r="B388" s="4"/>
      <c r="C388" s="4"/>
      <c r="D388" s="5"/>
      <c r="E388" s="4"/>
      <c r="F388" s="4"/>
      <c r="G388" s="6"/>
      <c r="H388" s="6"/>
      <c r="I388" s="6"/>
      <c r="J388" s="6"/>
    </row>
    <row r="389" spans="1:10" ht="13.5" thickBot="1">
      <c r="A389" s="4"/>
      <c r="B389" s="4"/>
      <c r="C389" s="4"/>
      <c r="D389" s="5"/>
      <c r="E389" s="4"/>
      <c r="F389" s="4"/>
      <c r="G389" s="6"/>
      <c r="H389" s="6"/>
      <c r="I389" s="6"/>
      <c r="J389" s="6"/>
    </row>
    <row r="390" spans="1:10" ht="13.5" thickBot="1">
      <c r="A390" s="4"/>
      <c r="B390" s="4"/>
      <c r="C390" s="4"/>
      <c r="D390" s="5"/>
      <c r="E390" s="4"/>
      <c r="F390" s="4"/>
      <c r="G390" s="6"/>
      <c r="H390" s="6"/>
      <c r="I390" s="6"/>
      <c r="J390" s="6"/>
    </row>
    <row r="391" spans="1:10" ht="13.5" thickBot="1">
      <c r="A391" s="4"/>
      <c r="B391" s="4"/>
      <c r="C391" s="4"/>
      <c r="D391" s="5"/>
      <c r="E391" s="4"/>
      <c r="F391" s="4"/>
      <c r="G391" s="6"/>
      <c r="H391" s="6"/>
      <c r="I391" s="6"/>
      <c r="J391" s="6"/>
    </row>
    <row r="392" spans="1:10" ht="13.5" thickBot="1">
      <c r="A392" s="4"/>
      <c r="B392" s="4"/>
      <c r="C392" s="4"/>
      <c r="D392" s="5"/>
      <c r="E392" s="4"/>
      <c r="F392" s="4"/>
      <c r="G392" s="6"/>
      <c r="H392" s="6"/>
      <c r="I392" s="6"/>
      <c r="J392" s="6"/>
    </row>
    <row r="393" spans="1:10" ht="13.5" thickBot="1">
      <c r="A393" s="4"/>
      <c r="B393" s="4"/>
      <c r="C393" s="4"/>
      <c r="D393" s="5"/>
      <c r="E393" s="4"/>
      <c r="F393" s="4"/>
      <c r="G393" s="6"/>
      <c r="H393" s="6"/>
      <c r="I393" s="6"/>
      <c r="J393" s="6"/>
    </row>
    <row r="394" spans="1:10" ht="13.5" thickBot="1">
      <c r="A394" s="4"/>
      <c r="B394" s="4"/>
      <c r="C394" s="4"/>
      <c r="D394" s="5"/>
      <c r="E394" s="4"/>
      <c r="F394" s="4"/>
      <c r="G394" s="6"/>
      <c r="H394" s="6"/>
      <c r="I394" s="6"/>
      <c r="J394" s="6"/>
    </row>
    <row r="395" spans="1:10" ht="13.5" thickBot="1">
      <c r="A395" s="4"/>
      <c r="B395" s="4"/>
      <c r="C395" s="4"/>
      <c r="D395" s="5"/>
      <c r="E395" s="4"/>
      <c r="F395" s="4"/>
      <c r="G395" s="6"/>
      <c r="H395" s="6"/>
      <c r="I395" s="6"/>
      <c r="J395" s="6"/>
    </row>
    <row r="396" spans="1:10" ht="13.5" thickBot="1">
      <c r="A396" s="4"/>
      <c r="B396" s="4"/>
      <c r="C396" s="4"/>
      <c r="D396" s="5"/>
      <c r="E396" s="4"/>
      <c r="F396" s="4"/>
      <c r="G396" s="6"/>
      <c r="H396" s="6"/>
      <c r="I396" s="6"/>
      <c r="J396" s="6"/>
    </row>
    <row r="397" spans="1:10" ht="13.5" thickBot="1">
      <c r="A397" s="4"/>
      <c r="B397" s="4"/>
      <c r="C397" s="4"/>
      <c r="D397" s="5"/>
      <c r="E397" s="4"/>
      <c r="F397" s="4"/>
      <c r="G397" s="6"/>
      <c r="H397" s="6"/>
      <c r="I397" s="6"/>
      <c r="J397" s="6"/>
    </row>
    <row r="398" spans="1:10" ht="13.5" thickBot="1">
      <c r="A398" s="4"/>
      <c r="B398" s="4"/>
      <c r="C398" s="4"/>
      <c r="D398" s="5"/>
      <c r="E398" s="4"/>
      <c r="F398" s="4"/>
      <c r="G398" s="6"/>
      <c r="H398" s="6"/>
      <c r="I398" s="6"/>
      <c r="J398" s="6"/>
    </row>
    <row r="399" spans="1:10" ht="13.5" thickBot="1">
      <c r="A399" s="4"/>
      <c r="B399" s="4"/>
      <c r="C399" s="4"/>
      <c r="D399" s="5"/>
      <c r="E399" s="4"/>
      <c r="F399" s="4"/>
      <c r="G399" s="6"/>
      <c r="H399" s="6"/>
      <c r="I399" s="6"/>
      <c r="J399" s="6"/>
    </row>
    <row r="400" spans="1:10" ht="13.5" thickBot="1">
      <c r="A400" s="4"/>
      <c r="B400" s="4"/>
      <c r="C400" s="4"/>
      <c r="D400" s="5"/>
      <c r="E400" s="4"/>
      <c r="F400" s="4"/>
      <c r="G400" s="6"/>
      <c r="H400" s="6"/>
      <c r="I400" s="6"/>
      <c r="J400" s="6"/>
    </row>
    <row r="401" spans="1:10" ht="13.5" thickBot="1">
      <c r="A401" s="4"/>
      <c r="B401" s="4"/>
      <c r="C401" s="4"/>
      <c r="D401" s="5"/>
      <c r="E401" s="4"/>
      <c r="F401" s="4"/>
      <c r="G401" s="6"/>
      <c r="H401" s="6"/>
      <c r="I401" s="6"/>
      <c r="J401" s="6"/>
    </row>
    <row r="402" spans="1:10" ht="13.5" thickBot="1">
      <c r="A402" s="4"/>
      <c r="B402" s="4"/>
      <c r="C402" s="4"/>
      <c r="D402" s="5"/>
      <c r="E402" s="4"/>
      <c r="F402" s="4"/>
      <c r="G402" s="6"/>
      <c r="H402" s="6"/>
      <c r="I402" s="6"/>
      <c r="J402" s="6"/>
    </row>
    <row r="403" spans="1:10" ht="13.5" thickBot="1">
      <c r="A403" s="4"/>
      <c r="B403" s="4"/>
      <c r="C403" s="4"/>
      <c r="D403" s="5"/>
      <c r="E403" s="4"/>
      <c r="F403" s="4"/>
      <c r="G403" s="6"/>
      <c r="H403" s="6"/>
      <c r="I403" s="6"/>
      <c r="J403" s="6"/>
    </row>
    <row r="404" spans="1:10" ht="13.5" thickBot="1">
      <c r="A404" s="4"/>
      <c r="B404" s="4"/>
      <c r="C404" s="4"/>
      <c r="D404" s="5"/>
      <c r="E404" s="4"/>
      <c r="F404" s="4"/>
      <c r="G404" s="6"/>
      <c r="H404" s="6"/>
      <c r="I404" s="6"/>
      <c r="J404" s="6"/>
    </row>
    <row r="405" spans="1:10" ht="13.5" thickBot="1">
      <c r="A405" s="4"/>
      <c r="B405" s="4"/>
      <c r="C405" s="4"/>
      <c r="D405" s="5"/>
      <c r="E405" s="4"/>
      <c r="F405" s="4"/>
      <c r="G405" s="6"/>
      <c r="H405" s="6"/>
      <c r="I405" s="6"/>
      <c r="J405" s="6"/>
    </row>
    <row r="406" spans="1:10" ht="13.5" thickBot="1">
      <c r="A406" s="4"/>
      <c r="B406" s="4"/>
      <c r="C406" s="4"/>
      <c r="D406" s="5"/>
      <c r="E406" s="4"/>
      <c r="F406" s="4"/>
      <c r="G406" s="6"/>
      <c r="H406" s="6"/>
      <c r="I406" s="6"/>
      <c r="J406" s="6"/>
    </row>
    <row r="407" spans="1:10" ht="13.5" thickBot="1">
      <c r="A407" s="4"/>
      <c r="B407" s="4"/>
      <c r="C407" s="4"/>
      <c r="D407" s="5"/>
      <c r="E407" s="4"/>
      <c r="F407" s="4"/>
      <c r="G407" s="6"/>
      <c r="H407" s="6"/>
      <c r="I407" s="6"/>
      <c r="J407" s="6"/>
    </row>
    <row r="408" spans="1:10" ht="13.5" thickBot="1">
      <c r="A408" s="4"/>
      <c r="B408" s="4"/>
      <c r="C408" s="4"/>
      <c r="D408" s="5"/>
      <c r="E408" s="4"/>
      <c r="F408" s="4"/>
      <c r="G408" s="6"/>
      <c r="H408" s="6"/>
      <c r="I408" s="6"/>
      <c r="J408" s="6"/>
    </row>
    <row r="409" spans="1:10" ht="13.5" thickBot="1">
      <c r="A409" s="4"/>
      <c r="B409" s="4"/>
      <c r="C409" s="4"/>
      <c r="D409" s="5"/>
      <c r="E409" s="4"/>
      <c r="F409" s="4"/>
      <c r="G409" s="6"/>
      <c r="H409" s="6"/>
      <c r="I409" s="6"/>
      <c r="J409" s="6"/>
    </row>
    <row r="410" spans="1:10" ht="13.5" thickBot="1">
      <c r="A410" s="4"/>
      <c r="B410" s="4"/>
      <c r="C410" s="4"/>
      <c r="D410" s="5"/>
      <c r="E410" s="4"/>
      <c r="F410" s="4"/>
      <c r="G410" s="6"/>
      <c r="H410" s="6"/>
      <c r="I410" s="6"/>
      <c r="J410" s="6"/>
    </row>
    <row r="411" spans="1:10" ht="13.5" thickBot="1">
      <c r="A411" s="4"/>
      <c r="B411" s="4"/>
      <c r="C411" s="4"/>
      <c r="D411" s="5"/>
      <c r="E411" s="4"/>
      <c r="F411" s="4"/>
      <c r="G411" s="6"/>
      <c r="H411" s="6"/>
      <c r="I411" s="6"/>
      <c r="J411" s="6"/>
    </row>
    <row r="412" spans="1:10" ht="13.5" thickBot="1">
      <c r="A412" s="4"/>
      <c r="B412" s="4"/>
      <c r="C412" s="4"/>
      <c r="D412" s="5"/>
      <c r="E412" s="4"/>
      <c r="F412" s="4"/>
      <c r="G412" s="6"/>
      <c r="H412" s="6"/>
      <c r="I412" s="6"/>
      <c r="J412" s="6"/>
    </row>
    <row r="413" spans="1:10" ht="13.5" thickBot="1">
      <c r="A413" s="4"/>
      <c r="B413" s="4"/>
      <c r="C413" s="4"/>
      <c r="D413" s="5"/>
      <c r="E413" s="4"/>
      <c r="F413" s="4"/>
      <c r="G413" s="6"/>
      <c r="H413" s="6"/>
      <c r="I413" s="6"/>
      <c r="J413" s="6"/>
    </row>
    <row r="414" spans="1:10" ht="13.5" thickBot="1">
      <c r="A414" s="4"/>
      <c r="B414" s="4"/>
      <c r="C414" s="4"/>
      <c r="D414" s="5"/>
      <c r="E414" s="4"/>
      <c r="F414" s="4"/>
      <c r="G414" s="6"/>
      <c r="H414" s="6"/>
      <c r="I414" s="6"/>
      <c r="J414" s="6"/>
    </row>
    <row r="415" spans="1:10" ht="13.5" thickBot="1">
      <c r="A415" s="4"/>
      <c r="B415" s="4"/>
      <c r="C415" s="4"/>
      <c r="D415" s="5"/>
      <c r="E415" s="4"/>
      <c r="F415" s="4"/>
      <c r="G415" s="6"/>
      <c r="H415" s="6"/>
      <c r="I415" s="6"/>
      <c r="J415" s="6"/>
    </row>
    <row r="416" spans="1:10" ht="13.5" thickBot="1">
      <c r="A416" s="4"/>
      <c r="B416" s="4"/>
      <c r="C416" s="4"/>
      <c r="D416" s="5"/>
      <c r="E416" s="4"/>
      <c r="F416" s="4"/>
      <c r="G416" s="6"/>
      <c r="H416" s="6"/>
      <c r="I416" s="6"/>
      <c r="J416" s="6"/>
    </row>
    <row r="417" spans="1:10" ht="13.5" thickBot="1">
      <c r="A417" s="4"/>
      <c r="B417" s="4"/>
      <c r="C417" s="4"/>
      <c r="D417" s="5"/>
      <c r="E417" s="4"/>
      <c r="F417" s="4"/>
      <c r="G417" s="6"/>
      <c r="H417" s="6"/>
      <c r="I417" s="6"/>
      <c r="J417" s="6"/>
    </row>
    <row r="418" spans="1:10" ht="13.5" thickBot="1">
      <c r="A418" s="4"/>
      <c r="B418" s="4"/>
      <c r="C418" s="4"/>
      <c r="D418" s="5"/>
      <c r="E418" s="4"/>
      <c r="F418" s="4"/>
      <c r="G418" s="6"/>
      <c r="H418" s="6"/>
      <c r="I418" s="6"/>
      <c r="J418" s="6"/>
    </row>
    <row r="419" spans="1:10" ht="13.5" thickBot="1">
      <c r="A419" s="4"/>
      <c r="B419" s="4"/>
      <c r="C419" s="4"/>
      <c r="D419" s="5"/>
      <c r="E419" s="4"/>
      <c r="F419" s="4"/>
      <c r="G419" s="6"/>
      <c r="H419" s="6"/>
      <c r="I419" s="6"/>
      <c r="J419" s="6"/>
    </row>
    <row r="420" spans="1:10" ht="13.5" thickBot="1">
      <c r="A420" s="4"/>
      <c r="B420" s="4"/>
      <c r="C420" s="4"/>
      <c r="D420" s="5"/>
      <c r="E420" s="4"/>
      <c r="F420" s="4"/>
      <c r="G420" s="6"/>
      <c r="H420" s="6"/>
      <c r="I420" s="6"/>
      <c r="J420" s="6"/>
    </row>
    <row r="421" spans="1:10" ht="13.5" thickBot="1">
      <c r="A421" s="4"/>
      <c r="B421" s="4"/>
      <c r="C421" s="4"/>
      <c r="D421" s="5"/>
      <c r="E421" s="4"/>
      <c r="F421" s="4"/>
      <c r="G421" s="6"/>
      <c r="H421" s="6"/>
      <c r="I421" s="6"/>
      <c r="J421" s="6"/>
    </row>
    <row r="422" spans="1:10" ht="13.5" thickBot="1">
      <c r="A422" s="4"/>
      <c r="B422" s="4"/>
      <c r="C422" s="4"/>
      <c r="D422" s="5"/>
      <c r="E422" s="4"/>
      <c r="F422" s="4"/>
      <c r="G422" s="6"/>
      <c r="H422" s="6"/>
      <c r="I422" s="6"/>
      <c r="J422" s="6"/>
    </row>
    <row r="423" spans="1:10" ht="13.5" thickBot="1">
      <c r="A423" s="4"/>
      <c r="B423" s="4"/>
      <c r="C423" s="4"/>
      <c r="D423" s="5"/>
      <c r="E423" s="4"/>
      <c r="F423" s="4"/>
      <c r="G423" s="6"/>
      <c r="H423" s="6"/>
      <c r="I423" s="6"/>
      <c r="J423" s="6"/>
    </row>
    <row r="424" spans="1:10" ht="13.5" thickBot="1">
      <c r="A424" s="4"/>
      <c r="B424" s="4"/>
      <c r="C424" s="4"/>
      <c r="D424" s="5"/>
      <c r="E424" s="4"/>
      <c r="F424" s="4"/>
      <c r="G424" s="6"/>
      <c r="H424" s="6"/>
      <c r="I424" s="6"/>
      <c r="J424" s="6"/>
    </row>
    <row r="425" spans="1:10" ht="13.5" thickBot="1">
      <c r="A425" s="4"/>
      <c r="B425" s="4"/>
      <c r="C425" s="4"/>
      <c r="D425" s="5"/>
      <c r="E425" s="4"/>
      <c r="F425" s="4"/>
      <c r="G425" s="6"/>
      <c r="H425" s="6"/>
      <c r="I425" s="6"/>
      <c r="J425" s="6"/>
    </row>
    <row r="426" spans="1:10" ht="13.5" thickBot="1">
      <c r="A426" s="4"/>
      <c r="B426" s="4"/>
      <c r="C426" s="4"/>
      <c r="D426" s="5"/>
      <c r="E426" s="4"/>
      <c r="F426" s="4"/>
      <c r="G426" s="6"/>
      <c r="H426" s="6"/>
      <c r="I426" s="6"/>
      <c r="J426" s="6"/>
    </row>
    <row r="427" spans="1:10" ht="13.5" thickBot="1">
      <c r="A427" s="4"/>
      <c r="B427" s="4"/>
      <c r="C427" s="4"/>
      <c r="D427" s="5"/>
      <c r="E427" s="4"/>
      <c r="F427" s="4"/>
      <c r="G427" s="6"/>
      <c r="H427" s="6"/>
      <c r="I427" s="6"/>
      <c r="J427" s="6"/>
    </row>
    <row r="428" spans="1:10" ht="13.5" thickBot="1">
      <c r="A428" s="4"/>
      <c r="B428" s="4"/>
      <c r="C428" s="4"/>
      <c r="D428" s="5"/>
      <c r="E428" s="4"/>
      <c r="F428" s="4"/>
      <c r="G428" s="6"/>
      <c r="H428" s="6"/>
      <c r="I428" s="6"/>
      <c r="J428" s="6"/>
    </row>
    <row r="429" spans="1:10" ht="13.5" thickBot="1">
      <c r="A429" s="4"/>
      <c r="B429" s="4"/>
      <c r="C429" s="4"/>
      <c r="D429" s="5"/>
      <c r="E429" s="4"/>
      <c r="F429" s="4"/>
      <c r="G429" s="6"/>
      <c r="H429" s="6"/>
      <c r="I429" s="6"/>
      <c r="J429" s="6"/>
    </row>
    <row r="430" spans="1:10" ht="13.5" thickBot="1">
      <c r="A430" s="4"/>
      <c r="B430" s="4"/>
      <c r="C430" s="4"/>
      <c r="D430" s="5"/>
      <c r="E430" s="4"/>
      <c r="F430" s="4"/>
      <c r="G430" s="6"/>
      <c r="H430" s="6"/>
      <c r="I430" s="6"/>
      <c r="J430" s="6"/>
    </row>
    <row r="431" spans="1:10" ht="13.5" thickBot="1">
      <c r="A431" s="4"/>
      <c r="B431" s="4"/>
      <c r="C431" s="4"/>
      <c r="D431" s="5"/>
      <c r="E431" s="4"/>
      <c r="F431" s="4"/>
      <c r="G431" s="6"/>
      <c r="H431" s="6"/>
      <c r="I431" s="6"/>
      <c r="J431" s="6"/>
    </row>
    <row r="432" spans="1:10" ht="13.5" thickBot="1">
      <c r="A432" s="4"/>
      <c r="B432" s="4"/>
      <c r="C432" s="4"/>
      <c r="D432" s="5"/>
      <c r="E432" s="4"/>
      <c r="F432" s="4"/>
      <c r="G432" s="6"/>
      <c r="H432" s="6"/>
      <c r="I432" s="6"/>
      <c r="J432" s="6"/>
    </row>
    <row r="433" spans="1:10" ht="13.5" thickBot="1">
      <c r="A433" s="4"/>
      <c r="B433" s="4"/>
      <c r="C433" s="4"/>
      <c r="D433" s="5"/>
      <c r="E433" s="4"/>
      <c r="F433" s="4"/>
      <c r="G433" s="6"/>
      <c r="H433" s="6"/>
      <c r="I433" s="6"/>
      <c r="J433" s="6"/>
    </row>
    <row r="434" spans="1:10" ht="13.5" thickBot="1">
      <c r="A434" s="4"/>
      <c r="B434" s="4"/>
      <c r="C434" s="4"/>
      <c r="D434" s="5"/>
      <c r="E434" s="4"/>
      <c r="F434" s="4"/>
      <c r="G434" s="6"/>
      <c r="H434" s="6"/>
      <c r="I434" s="6"/>
      <c r="J434" s="6"/>
    </row>
    <row r="435" spans="1:10" ht="13.5" thickBot="1">
      <c r="A435" s="4"/>
      <c r="B435" s="4"/>
      <c r="C435" s="4"/>
      <c r="D435" s="5"/>
      <c r="E435" s="4"/>
      <c r="F435" s="4"/>
      <c r="G435" s="6"/>
      <c r="H435" s="6"/>
      <c r="I435" s="6"/>
      <c r="J435" s="6"/>
    </row>
    <row r="436" spans="1:10" ht="13.5" thickBot="1">
      <c r="A436" s="4"/>
      <c r="B436" s="4"/>
      <c r="C436" s="4"/>
      <c r="D436" s="5"/>
      <c r="E436" s="4"/>
      <c r="F436" s="4"/>
      <c r="G436" s="6"/>
      <c r="H436" s="6"/>
      <c r="I436" s="6"/>
      <c r="J436" s="6"/>
    </row>
    <row r="437" spans="1:10" ht="13.5" thickBot="1">
      <c r="A437" s="4"/>
      <c r="B437" s="4"/>
      <c r="C437" s="4"/>
      <c r="D437" s="5"/>
      <c r="E437" s="4"/>
      <c r="F437" s="4"/>
      <c r="G437" s="6"/>
      <c r="H437" s="6"/>
      <c r="I437" s="6"/>
      <c r="J437" s="6"/>
    </row>
    <row r="438" spans="1:10" ht="13.5" thickBot="1">
      <c r="A438" s="4"/>
      <c r="B438" s="4"/>
      <c r="C438" s="4"/>
      <c r="D438" s="5"/>
      <c r="E438" s="4"/>
      <c r="F438" s="4"/>
      <c r="G438" s="6"/>
      <c r="H438" s="6"/>
      <c r="I438" s="6"/>
      <c r="J438" s="6"/>
    </row>
    <row r="439" spans="1:10" ht="13.5" thickBot="1">
      <c r="A439" s="4"/>
      <c r="B439" s="4"/>
      <c r="C439" s="4"/>
      <c r="D439" s="5"/>
      <c r="E439" s="4"/>
      <c r="F439" s="4"/>
      <c r="G439" s="6"/>
      <c r="H439" s="6"/>
      <c r="I439" s="6"/>
      <c r="J439" s="6"/>
    </row>
    <row r="440" spans="1:10" ht="13.5" thickBot="1">
      <c r="A440" s="4"/>
      <c r="B440" s="4"/>
      <c r="C440" s="4"/>
      <c r="D440" s="5"/>
      <c r="E440" s="4"/>
      <c r="F440" s="4"/>
      <c r="G440" s="6"/>
      <c r="H440" s="6"/>
      <c r="I440" s="6"/>
      <c r="J440" s="6"/>
    </row>
    <row r="441" spans="1:10" ht="13.5" thickBot="1">
      <c r="A441" s="4"/>
      <c r="B441" s="4"/>
      <c r="C441" s="4"/>
      <c r="D441" s="5"/>
      <c r="E441" s="4"/>
      <c r="F441" s="4"/>
      <c r="G441" s="6"/>
      <c r="H441" s="6"/>
      <c r="I441" s="6"/>
      <c r="J441" s="6"/>
    </row>
    <row r="442" spans="1:10" ht="13.5" thickBot="1">
      <c r="A442" s="4"/>
      <c r="B442" s="4"/>
      <c r="C442" s="4"/>
      <c r="D442" s="5"/>
      <c r="E442" s="4"/>
      <c r="F442" s="4"/>
      <c r="G442" s="6"/>
      <c r="H442" s="6"/>
      <c r="I442" s="6"/>
      <c r="J442" s="6"/>
    </row>
    <row r="443" spans="1:10" ht="13.5" thickBot="1">
      <c r="A443" s="4"/>
      <c r="B443" s="4"/>
      <c r="C443" s="4"/>
      <c r="D443" s="5"/>
      <c r="E443" s="4"/>
      <c r="F443" s="4"/>
      <c r="G443" s="6"/>
      <c r="H443" s="6"/>
      <c r="I443" s="6"/>
      <c r="J443" s="6"/>
    </row>
    <row r="444" spans="1:10" ht="13.5" thickBot="1">
      <c r="A444" s="4"/>
      <c r="B444" s="4"/>
      <c r="C444" s="4"/>
      <c r="D444" s="5"/>
      <c r="E444" s="4"/>
      <c r="F444" s="4"/>
      <c r="G444" s="6"/>
      <c r="H444" s="6"/>
      <c r="I444" s="6"/>
      <c r="J444" s="6"/>
    </row>
    <row r="445" spans="1:10" ht="13.5" thickBot="1">
      <c r="A445" s="4"/>
      <c r="B445" s="4"/>
      <c r="C445" s="4"/>
      <c r="D445" s="5"/>
      <c r="E445" s="4"/>
      <c r="F445" s="4"/>
      <c r="G445" s="6"/>
      <c r="H445" s="6"/>
      <c r="I445" s="6"/>
      <c r="J445" s="6"/>
    </row>
    <row r="446" spans="1:10" ht="13.5" thickBot="1">
      <c r="A446" s="4"/>
      <c r="B446" s="4"/>
      <c r="C446" s="4"/>
      <c r="D446" s="5"/>
      <c r="E446" s="4"/>
      <c r="F446" s="4"/>
      <c r="G446" s="6"/>
      <c r="H446" s="6"/>
      <c r="I446" s="6"/>
      <c r="J446" s="6"/>
    </row>
    <row r="447" spans="1:10" ht="13.5" thickBot="1">
      <c r="A447" s="4"/>
      <c r="B447" s="4"/>
      <c r="C447" s="4"/>
      <c r="D447" s="5"/>
      <c r="E447" s="4"/>
      <c r="F447" s="4"/>
      <c r="G447" s="6"/>
      <c r="H447" s="6"/>
      <c r="I447" s="6"/>
      <c r="J447" s="6"/>
    </row>
    <row r="448" spans="1:10" ht="13.5" thickBot="1">
      <c r="A448" s="4"/>
      <c r="B448" s="4"/>
      <c r="C448" s="4"/>
      <c r="D448" s="5"/>
      <c r="E448" s="4"/>
      <c r="F448" s="4"/>
      <c r="G448" s="6"/>
      <c r="H448" s="6"/>
      <c r="I448" s="6"/>
      <c r="J448" s="6"/>
    </row>
    <row r="449" spans="1:10" ht="13.5" thickBot="1">
      <c r="A449" s="4"/>
      <c r="B449" s="4"/>
      <c r="C449" s="4"/>
      <c r="D449" s="5"/>
      <c r="E449" s="4"/>
      <c r="F449" s="4"/>
      <c r="G449" s="6"/>
      <c r="H449" s="6"/>
      <c r="I449" s="6"/>
      <c r="J449" s="6"/>
    </row>
    <row r="450" spans="1:10" ht="13.5" thickBot="1">
      <c r="A450" s="4"/>
      <c r="B450" s="4"/>
      <c r="C450" s="4"/>
      <c r="D450" s="5"/>
      <c r="E450" s="4"/>
      <c r="F450" s="4"/>
      <c r="G450" s="6"/>
      <c r="H450" s="6"/>
      <c r="I450" s="6"/>
      <c r="J450" s="6"/>
    </row>
    <row r="451" spans="1:10" ht="13.5" thickBot="1">
      <c r="A451" s="4"/>
      <c r="B451" s="4"/>
      <c r="C451" s="4"/>
      <c r="D451" s="5"/>
      <c r="E451" s="4"/>
      <c r="F451" s="4"/>
      <c r="G451" s="6"/>
      <c r="H451" s="6"/>
      <c r="I451" s="6"/>
      <c r="J451" s="6"/>
    </row>
    <row r="452" spans="1:10" ht="13.5" thickBot="1">
      <c r="A452" s="4"/>
      <c r="B452" s="4"/>
      <c r="C452" s="4"/>
      <c r="D452" s="5"/>
      <c r="E452" s="4"/>
      <c r="F452" s="4"/>
      <c r="G452" s="6"/>
      <c r="H452" s="6"/>
      <c r="I452" s="6"/>
      <c r="J452" s="6"/>
    </row>
    <row r="453" spans="1:10" ht="13.5" thickBot="1">
      <c r="A453" s="4"/>
      <c r="B453" s="4"/>
      <c r="C453" s="4"/>
      <c r="D453" s="5"/>
      <c r="E453" s="4"/>
      <c r="F453" s="4"/>
      <c r="G453" s="6"/>
      <c r="H453" s="6"/>
      <c r="I453" s="6"/>
      <c r="J453" s="6"/>
    </row>
    <row r="454" spans="1:10" ht="13.5" thickBot="1">
      <c r="A454" s="4"/>
      <c r="B454" s="4"/>
      <c r="C454" s="4"/>
      <c r="D454" s="5"/>
      <c r="E454" s="4"/>
      <c r="F454" s="4"/>
      <c r="G454" s="6"/>
      <c r="H454" s="6"/>
      <c r="I454" s="6"/>
      <c r="J454" s="6"/>
    </row>
    <row r="455" spans="1:10" ht="13.5" thickBot="1">
      <c r="A455" s="4"/>
      <c r="B455" s="4"/>
      <c r="C455" s="4"/>
      <c r="D455" s="5"/>
      <c r="E455" s="4"/>
      <c r="F455" s="4"/>
      <c r="G455" s="6"/>
      <c r="H455" s="6"/>
      <c r="I455" s="6"/>
      <c r="J455" s="6"/>
    </row>
    <row r="456" spans="1:10" ht="13.5" thickBot="1">
      <c r="A456" s="4"/>
      <c r="B456" s="4"/>
      <c r="C456" s="4"/>
      <c r="D456" s="5"/>
      <c r="E456" s="4"/>
      <c r="F456" s="4"/>
      <c r="G456" s="6"/>
      <c r="H456" s="6"/>
      <c r="I456" s="6"/>
      <c r="J456" s="6"/>
    </row>
    <row r="457" spans="1:10" ht="13.5" thickBot="1">
      <c r="A457" s="4"/>
      <c r="B457" s="4"/>
      <c r="C457" s="4"/>
      <c r="D457" s="5"/>
      <c r="E457" s="4"/>
      <c r="F457" s="4"/>
      <c r="G457" s="6"/>
      <c r="H457" s="6"/>
      <c r="I457" s="6"/>
      <c r="J457" s="6"/>
    </row>
    <row r="458" spans="1:10" ht="13.5" thickBot="1">
      <c r="A458" s="4"/>
      <c r="B458" s="4"/>
      <c r="C458" s="4"/>
      <c r="D458" s="5"/>
      <c r="E458" s="4"/>
      <c r="F458" s="4"/>
      <c r="G458" s="6"/>
      <c r="H458" s="6"/>
      <c r="I458" s="6"/>
      <c r="J458" s="6"/>
    </row>
    <row r="459" spans="1:10" ht="13.5" thickBot="1">
      <c r="A459" s="4"/>
      <c r="B459" s="4"/>
      <c r="C459" s="4"/>
      <c r="D459" s="5"/>
      <c r="E459" s="4"/>
      <c r="F459" s="4"/>
      <c r="G459" s="6"/>
      <c r="H459" s="6"/>
      <c r="I459" s="6"/>
      <c r="J459" s="6"/>
    </row>
    <row r="460" spans="1:10" ht="13.5" thickBot="1">
      <c r="A460" s="4"/>
      <c r="B460" s="4"/>
      <c r="C460" s="4"/>
      <c r="D460" s="5"/>
      <c r="E460" s="4"/>
      <c r="F460" s="4"/>
      <c r="G460" s="6"/>
      <c r="H460" s="6"/>
      <c r="I460" s="6"/>
      <c r="J460" s="6"/>
    </row>
    <row r="461" spans="1:10" ht="13.5" thickBot="1">
      <c r="A461" s="4"/>
      <c r="B461" s="4"/>
      <c r="C461" s="4"/>
      <c r="D461" s="5"/>
      <c r="E461" s="4"/>
      <c r="F461" s="4"/>
      <c r="G461" s="6"/>
      <c r="H461" s="6"/>
      <c r="I461" s="6"/>
      <c r="J461" s="6"/>
    </row>
    <row r="462" spans="1:10" ht="13.5" thickBot="1">
      <c r="A462" s="4"/>
      <c r="B462" s="4"/>
      <c r="C462" s="4"/>
      <c r="D462" s="5"/>
      <c r="E462" s="4"/>
      <c r="F462" s="4"/>
      <c r="G462" s="6"/>
      <c r="H462" s="6"/>
      <c r="I462" s="6"/>
      <c r="J462" s="6"/>
    </row>
    <row r="463" spans="1:10" ht="13.5" thickBot="1">
      <c r="A463" s="4"/>
      <c r="B463" s="4"/>
      <c r="C463" s="4"/>
      <c r="D463" s="5"/>
      <c r="E463" s="4"/>
      <c r="F463" s="4"/>
      <c r="G463" s="6"/>
      <c r="H463" s="6"/>
      <c r="I463" s="6"/>
      <c r="J463" s="6"/>
    </row>
    <row r="464" spans="1:10" ht="13.5" thickBot="1">
      <c r="A464" s="4"/>
      <c r="B464" s="4"/>
      <c r="C464" s="4"/>
      <c r="D464" s="5"/>
      <c r="E464" s="4"/>
      <c r="F464" s="4"/>
      <c r="G464" s="6"/>
      <c r="H464" s="6"/>
      <c r="I464" s="6"/>
      <c r="J464" s="6"/>
    </row>
    <row r="465" spans="1:10" ht="13.5" thickBot="1">
      <c r="A465" s="4"/>
      <c r="B465" s="4"/>
      <c r="C465" s="4"/>
      <c r="D465" s="5"/>
      <c r="E465" s="4"/>
      <c r="F465" s="4"/>
      <c r="G465" s="6"/>
      <c r="H465" s="6"/>
      <c r="I465" s="6"/>
      <c r="J465" s="6"/>
    </row>
    <row r="466" spans="1:10" ht="13.5" thickBot="1">
      <c r="A466" s="4"/>
      <c r="B466" s="4"/>
      <c r="C466" s="4"/>
      <c r="D466" s="5"/>
      <c r="E466" s="4"/>
      <c r="F466" s="4"/>
      <c r="G466" s="6"/>
      <c r="H466" s="6"/>
      <c r="I466" s="6"/>
      <c r="J466" s="6"/>
    </row>
    <row r="467" spans="1:10" ht="13.5" thickBot="1">
      <c r="A467" s="4"/>
      <c r="B467" s="4"/>
      <c r="C467" s="4"/>
      <c r="D467" s="5"/>
      <c r="E467" s="4"/>
      <c r="F467" s="4"/>
      <c r="G467" s="6"/>
      <c r="H467" s="6"/>
      <c r="I467" s="6"/>
      <c r="J467" s="6"/>
    </row>
    <row r="468" spans="1:10" ht="13.5" thickBot="1">
      <c r="A468" s="4"/>
      <c r="B468" s="4"/>
      <c r="C468" s="4"/>
      <c r="D468" s="5"/>
      <c r="E468" s="4"/>
      <c r="F468" s="4"/>
      <c r="G468" s="6"/>
      <c r="H468" s="6"/>
      <c r="I468" s="6"/>
      <c r="J468" s="6"/>
    </row>
    <row r="469" spans="1:10" ht="13.5" thickBot="1">
      <c r="A469" s="4"/>
      <c r="B469" s="4"/>
      <c r="C469" s="4"/>
      <c r="D469" s="5"/>
      <c r="E469" s="4"/>
      <c r="F469" s="4"/>
      <c r="G469" s="6"/>
      <c r="H469" s="6"/>
      <c r="I469" s="6"/>
      <c r="J469" s="6"/>
    </row>
    <row r="470" spans="1:10" ht="13.5" thickBot="1">
      <c r="A470" s="4"/>
      <c r="B470" s="4"/>
      <c r="C470" s="4"/>
      <c r="D470" s="5"/>
      <c r="E470" s="4"/>
      <c r="F470" s="4"/>
      <c r="G470" s="6"/>
      <c r="H470" s="6"/>
      <c r="I470" s="6"/>
      <c r="J470" s="6"/>
    </row>
    <row r="471" spans="1:10" ht="13.5" thickBot="1">
      <c r="A471" s="4"/>
      <c r="B471" s="4"/>
      <c r="C471" s="4"/>
      <c r="D471" s="5"/>
      <c r="E471" s="4"/>
      <c r="F471" s="4"/>
      <c r="G471" s="6"/>
      <c r="H471" s="6"/>
      <c r="I471" s="6"/>
      <c r="J471" s="6"/>
    </row>
    <row r="472" spans="1:10" ht="13.5" thickBot="1">
      <c r="A472" s="4"/>
      <c r="B472" s="4"/>
      <c r="C472" s="4"/>
      <c r="D472" s="5"/>
      <c r="E472" s="4"/>
      <c r="F472" s="4"/>
      <c r="G472" s="6"/>
      <c r="H472" s="6"/>
      <c r="I472" s="6"/>
      <c r="J472" s="6"/>
    </row>
    <row r="473" spans="1:10" ht="13.5" thickBot="1">
      <c r="A473" s="4"/>
      <c r="B473" s="4"/>
      <c r="C473" s="4"/>
      <c r="D473" s="5"/>
      <c r="E473" s="4"/>
      <c r="F473" s="4"/>
      <c r="G473" s="6"/>
      <c r="H473" s="6"/>
      <c r="I473" s="6"/>
      <c r="J473" s="6"/>
    </row>
    <row r="474" spans="1:10" ht="13.5" thickBot="1">
      <c r="A474" s="4"/>
      <c r="B474" s="4"/>
      <c r="C474" s="4"/>
      <c r="D474" s="5"/>
      <c r="E474" s="4"/>
      <c r="F474" s="4"/>
      <c r="G474" s="6"/>
      <c r="H474" s="6"/>
      <c r="I474" s="6"/>
      <c r="J474" s="6"/>
    </row>
    <row r="475" spans="1:10" ht="13.5" thickBot="1">
      <c r="A475" s="4"/>
      <c r="B475" s="4"/>
      <c r="C475" s="4"/>
      <c r="D475" s="5"/>
      <c r="E475" s="4"/>
      <c r="F475" s="4"/>
      <c r="G475" s="6"/>
      <c r="H475" s="6"/>
      <c r="I475" s="6"/>
      <c r="J475" s="6"/>
    </row>
    <row r="476" spans="1:10" ht="13.5" thickBot="1">
      <c r="A476" s="4"/>
      <c r="B476" s="4"/>
      <c r="C476" s="4"/>
      <c r="D476" s="5"/>
      <c r="E476" s="4"/>
      <c r="F476" s="4"/>
      <c r="G476" s="6"/>
      <c r="H476" s="6"/>
      <c r="I476" s="6"/>
      <c r="J476" s="6"/>
    </row>
    <row r="477" spans="1:10" ht="13.5" thickBot="1">
      <c r="A477" s="4"/>
      <c r="B477" s="4"/>
      <c r="C477" s="4"/>
      <c r="D477" s="5"/>
      <c r="E477" s="4"/>
      <c r="F477" s="4"/>
      <c r="G477" s="6"/>
      <c r="H477" s="6"/>
      <c r="I477" s="6"/>
      <c r="J477" s="6"/>
    </row>
    <row r="478" spans="1:10" ht="13.5" thickBot="1">
      <c r="A478" s="4"/>
      <c r="B478" s="4"/>
      <c r="C478" s="4"/>
      <c r="D478" s="5"/>
      <c r="E478" s="4"/>
      <c r="F478" s="4"/>
      <c r="G478" s="6"/>
      <c r="H478" s="6"/>
      <c r="I478" s="6"/>
      <c r="J478" s="6"/>
    </row>
    <row r="479" spans="1:10" ht="13.5" thickBot="1">
      <c r="A479" s="4"/>
      <c r="B479" s="4"/>
      <c r="C479" s="4"/>
      <c r="D479" s="5"/>
      <c r="E479" s="4"/>
      <c r="F479" s="4"/>
      <c r="G479" s="6"/>
      <c r="H479" s="6"/>
      <c r="I479" s="6"/>
      <c r="J479" s="6"/>
    </row>
    <row r="480" spans="1:10" ht="13.5" thickBot="1">
      <c r="A480" s="4"/>
      <c r="B480" s="4"/>
      <c r="C480" s="4"/>
      <c r="D480" s="5"/>
      <c r="E480" s="4"/>
      <c r="F480" s="4"/>
      <c r="G480" s="6"/>
      <c r="H480" s="6"/>
      <c r="I480" s="6"/>
      <c r="J480" s="6"/>
    </row>
    <row r="481" spans="1:10" ht="13.5" thickBot="1">
      <c r="A481" s="4"/>
      <c r="B481" s="4"/>
      <c r="C481" s="4"/>
      <c r="D481" s="5"/>
      <c r="E481" s="4"/>
      <c r="F481" s="4"/>
      <c r="G481" s="6"/>
      <c r="H481" s="6"/>
      <c r="I481" s="6"/>
      <c r="J481" s="6"/>
    </row>
    <row r="482" spans="1:10" ht="13.5" thickBot="1">
      <c r="A482" s="4"/>
      <c r="B482" s="4"/>
      <c r="C482" s="4"/>
      <c r="D482" s="5"/>
      <c r="E482" s="4"/>
      <c r="F482" s="4"/>
      <c r="G482" s="6"/>
      <c r="H482" s="6"/>
      <c r="I482" s="6"/>
      <c r="J482" s="6"/>
    </row>
    <row r="483" spans="1:10" ht="13.5" thickBot="1">
      <c r="A483" s="4"/>
      <c r="B483" s="4"/>
      <c r="C483" s="4"/>
      <c r="D483" s="5"/>
      <c r="E483" s="4"/>
      <c r="F483" s="4"/>
      <c r="G483" s="6"/>
      <c r="H483" s="6"/>
      <c r="I483" s="6"/>
      <c r="J483" s="6"/>
    </row>
    <row r="484" spans="1:10" ht="13.5" thickBot="1">
      <c r="A484" s="4"/>
      <c r="B484" s="4"/>
      <c r="C484" s="4"/>
      <c r="D484" s="5"/>
      <c r="E484" s="4"/>
      <c r="F484" s="4"/>
      <c r="G484" s="6"/>
      <c r="H484" s="6"/>
      <c r="I484" s="6"/>
      <c r="J484" s="6"/>
    </row>
    <row r="485" spans="1:10" ht="13.5" thickBot="1">
      <c r="A485" s="4"/>
      <c r="B485" s="4"/>
      <c r="C485" s="4"/>
      <c r="D485" s="5"/>
      <c r="E485" s="4"/>
      <c r="F485" s="4"/>
      <c r="G485" s="6"/>
      <c r="H485" s="6"/>
      <c r="I485" s="6"/>
      <c r="J485" s="6"/>
    </row>
    <row r="486" spans="1:10" ht="13.5" thickBot="1">
      <c r="A486" s="4"/>
      <c r="B486" s="4"/>
      <c r="C486" s="4"/>
      <c r="D486" s="5"/>
      <c r="E486" s="4"/>
      <c r="F486" s="4"/>
      <c r="G486" s="6"/>
      <c r="H486" s="6"/>
      <c r="I486" s="6"/>
      <c r="J486" s="6"/>
    </row>
    <row r="487" spans="1:10" ht="13.5" thickBot="1">
      <c r="A487" s="4"/>
      <c r="B487" s="4"/>
      <c r="C487" s="4"/>
      <c r="D487" s="5"/>
      <c r="E487" s="4"/>
      <c r="F487" s="4"/>
      <c r="G487" s="6"/>
      <c r="H487" s="6"/>
      <c r="I487" s="6"/>
      <c r="J487" s="6"/>
    </row>
    <row r="488" spans="1:10" ht="13.5" thickBot="1">
      <c r="A488" s="4"/>
      <c r="B488" s="4"/>
      <c r="C488" s="4"/>
      <c r="D488" s="5"/>
      <c r="E488" s="4"/>
      <c r="F488" s="4"/>
      <c r="G488" s="6"/>
      <c r="H488" s="6"/>
      <c r="I488" s="6"/>
      <c r="J488" s="6"/>
    </row>
    <row r="489" spans="1:10" ht="13.5" thickBot="1">
      <c r="A489" s="4"/>
      <c r="B489" s="4"/>
      <c r="C489" s="4"/>
      <c r="D489" s="5"/>
      <c r="E489" s="4"/>
      <c r="F489" s="4"/>
      <c r="G489" s="6"/>
      <c r="H489" s="6"/>
      <c r="I489" s="6"/>
      <c r="J489" s="6"/>
    </row>
    <row r="490" spans="1:10" ht="13.5" thickBot="1">
      <c r="A490" s="4"/>
      <c r="B490" s="4"/>
      <c r="C490" s="4"/>
      <c r="D490" s="5"/>
      <c r="E490" s="4"/>
      <c r="F490" s="4"/>
      <c r="G490" s="6"/>
      <c r="H490" s="6"/>
      <c r="I490" s="6"/>
      <c r="J490" s="6"/>
    </row>
    <row r="491" spans="1:10" ht="13.5" thickBot="1">
      <c r="A491" s="4"/>
      <c r="B491" s="4"/>
      <c r="C491" s="4"/>
      <c r="D491" s="5"/>
      <c r="E491" s="4"/>
      <c r="F491" s="4"/>
      <c r="G491" s="6"/>
      <c r="H491" s="6"/>
      <c r="I491" s="6"/>
      <c r="J491" s="6"/>
    </row>
    <row r="492" spans="1:10" ht="13.5" thickBot="1">
      <c r="A492" s="4"/>
      <c r="B492" s="4"/>
      <c r="C492" s="4"/>
      <c r="D492" s="5"/>
      <c r="E492" s="4"/>
      <c r="F492" s="4"/>
      <c r="G492" s="6"/>
      <c r="H492" s="6"/>
      <c r="I492" s="6"/>
      <c r="J492" s="6"/>
    </row>
    <row r="493" spans="1:10" ht="13.5" thickBot="1">
      <c r="A493" s="4"/>
      <c r="B493" s="4"/>
      <c r="C493" s="4"/>
      <c r="D493" s="5"/>
      <c r="E493" s="4"/>
      <c r="F493" s="4"/>
      <c r="G493" s="6"/>
      <c r="H493" s="6"/>
      <c r="I493" s="6"/>
      <c r="J493" s="6"/>
    </row>
    <row r="494" spans="1:10" ht="13.5" thickBot="1">
      <c r="A494" s="4"/>
      <c r="B494" s="4"/>
      <c r="C494" s="4"/>
      <c r="D494" s="5"/>
      <c r="E494" s="4"/>
      <c r="F494" s="4"/>
      <c r="G494" s="6"/>
      <c r="H494" s="6"/>
      <c r="I494" s="6"/>
      <c r="J494" s="6"/>
    </row>
    <row r="495" spans="1:10" ht="13.5" thickBot="1">
      <c r="A495" s="4"/>
      <c r="B495" s="4"/>
      <c r="C495" s="4"/>
      <c r="D495" s="5"/>
      <c r="E495" s="4"/>
      <c r="F495" s="4"/>
      <c r="G495" s="6"/>
      <c r="H495" s="6"/>
      <c r="I495" s="6"/>
      <c r="J495" s="6"/>
    </row>
    <row r="496" spans="1:10" ht="13.5" thickBot="1">
      <c r="A496" s="4"/>
      <c r="B496" s="4"/>
      <c r="C496" s="4"/>
      <c r="D496" s="5"/>
      <c r="E496" s="4"/>
      <c r="F496" s="4"/>
      <c r="G496" s="6"/>
      <c r="H496" s="6"/>
      <c r="I496" s="6"/>
      <c r="J496" s="6"/>
    </row>
    <row r="497" spans="1:10" ht="13.5" thickBot="1">
      <c r="A497" s="4"/>
      <c r="B497" s="4"/>
      <c r="C497" s="4"/>
      <c r="D497" s="5"/>
      <c r="E497" s="4"/>
      <c r="F497" s="4"/>
      <c r="G497" s="6"/>
      <c r="H497" s="6"/>
      <c r="I497" s="6"/>
      <c r="J497" s="6"/>
    </row>
    <row r="498" spans="1:10" ht="13.5" thickBot="1">
      <c r="A498" s="4"/>
      <c r="B498" s="4"/>
      <c r="C498" s="4"/>
      <c r="D498" s="5"/>
      <c r="E498" s="4"/>
      <c r="F498" s="4"/>
      <c r="G498" s="6"/>
      <c r="H498" s="6"/>
      <c r="I498" s="6"/>
      <c r="J498" s="6"/>
    </row>
    <row r="499" spans="1:10" ht="13.5" thickBot="1">
      <c r="A499" s="4"/>
      <c r="B499" s="4"/>
      <c r="C499" s="4"/>
      <c r="D499" s="5"/>
      <c r="E499" s="4"/>
      <c r="F499" s="4"/>
      <c r="G499" s="6"/>
      <c r="H499" s="6"/>
      <c r="I499" s="6"/>
      <c r="J499" s="6"/>
    </row>
    <row r="500" spans="1:10" ht="13.5" thickBot="1">
      <c r="A500" s="4"/>
      <c r="B500" s="4"/>
      <c r="C500" s="4"/>
      <c r="D500" s="5"/>
      <c r="E500" s="4"/>
      <c r="F500" s="4"/>
      <c r="G500" s="6"/>
      <c r="H500" s="6"/>
      <c r="I500" s="6"/>
      <c r="J500" s="6"/>
    </row>
    <row r="501" spans="1:10" ht="13.5" thickBot="1">
      <c r="A501" s="4"/>
      <c r="B501" s="4"/>
      <c r="C501" s="4"/>
      <c r="D501" s="5"/>
      <c r="E501" s="4"/>
      <c r="F501" s="4"/>
      <c r="G501" s="6"/>
      <c r="H501" s="6"/>
      <c r="I501" s="6"/>
      <c r="J501" s="6"/>
    </row>
    <row r="502" spans="1:10" ht="13.5" thickBot="1">
      <c r="A502" s="4"/>
      <c r="B502" s="4"/>
      <c r="C502" s="4"/>
      <c r="D502" s="5"/>
      <c r="E502" s="4"/>
      <c r="F502" s="4"/>
      <c r="G502" s="6"/>
      <c r="H502" s="6"/>
      <c r="I502" s="6"/>
      <c r="J502" s="6"/>
    </row>
    <row r="503" spans="1:10" ht="13.5" thickBot="1">
      <c r="A503" s="4"/>
      <c r="B503" s="4"/>
      <c r="C503" s="4"/>
      <c r="D503" s="5"/>
      <c r="E503" s="4"/>
      <c r="F503" s="4"/>
      <c r="G503" s="6"/>
      <c r="H503" s="6"/>
      <c r="I503" s="6"/>
      <c r="J503" s="6"/>
    </row>
    <row r="504" spans="1:10" ht="13.5" thickBot="1">
      <c r="A504" s="4"/>
      <c r="B504" s="4"/>
      <c r="C504" s="4"/>
      <c r="D504" s="5"/>
      <c r="E504" s="4"/>
      <c r="F504" s="4"/>
      <c r="G504" s="6"/>
      <c r="H504" s="6"/>
      <c r="I504" s="6"/>
      <c r="J504" s="6"/>
    </row>
    <row r="505" spans="1:10" ht="13.5" thickBot="1">
      <c r="A505" s="4"/>
      <c r="B505" s="4"/>
      <c r="C505" s="4"/>
      <c r="D505" s="5"/>
      <c r="E505" s="4"/>
      <c r="F505" s="4"/>
      <c r="G505" s="6"/>
      <c r="H505" s="6"/>
      <c r="I505" s="6"/>
      <c r="J505" s="6"/>
    </row>
    <row r="506" spans="1:10" ht="13.5" thickBot="1">
      <c r="A506" s="4"/>
      <c r="B506" s="4"/>
      <c r="C506" s="4"/>
      <c r="D506" s="5"/>
      <c r="E506" s="4"/>
      <c r="F506" s="4"/>
      <c r="G506" s="6"/>
      <c r="H506" s="6"/>
      <c r="I506" s="6"/>
      <c r="J506" s="6"/>
    </row>
    <row r="507" spans="1:10" ht="13.5" thickBot="1">
      <c r="A507" s="4"/>
      <c r="B507" s="4"/>
      <c r="C507" s="4"/>
      <c r="D507" s="5"/>
      <c r="E507" s="4"/>
      <c r="F507" s="4"/>
      <c r="G507" s="6"/>
      <c r="H507" s="6"/>
      <c r="I507" s="6"/>
      <c r="J507" s="6"/>
    </row>
    <row r="508" spans="1:10" ht="13.5" thickBot="1">
      <c r="A508" s="4"/>
      <c r="B508" s="4"/>
      <c r="C508" s="4"/>
      <c r="D508" s="5"/>
      <c r="E508" s="4"/>
      <c r="F508" s="4"/>
      <c r="G508" s="6"/>
      <c r="H508" s="6"/>
      <c r="I508" s="6"/>
      <c r="J508" s="6"/>
    </row>
    <row r="509" spans="1:10" ht="13.5" thickBot="1">
      <c r="A509" s="4"/>
      <c r="B509" s="4"/>
      <c r="C509" s="4"/>
      <c r="D509" s="5"/>
      <c r="E509" s="4"/>
      <c r="F509" s="4"/>
      <c r="G509" s="6"/>
      <c r="H509" s="6"/>
      <c r="I509" s="6"/>
      <c r="J509" s="6"/>
    </row>
    <row r="510" spans="1:10" ht="13.5" thickBot="1">
      <c r="A510" s="4"/>
      <c r="B510" s="4"/>
      <c r="C510" s="4"/>
      <c r="D510" s="5"/>
      <c r="E510" s="4"/>
      <c r="F510" s="4"/>
      <c r="G510" s="6"/>
      <c r="H510" s="6"/>
      <c r="I510" s="6"/>
      <c r="J510" s="6"/>
    </row>
    <row r="511" spans="1:10" ht="13.5" thickBot="1">
      <c r="A511" s="4"/>
      <c r="B511" s="4"/>
      <c r="C511" s="4"/>
      <c r="D511" s="5"/>
      <c r="E511" s="4"/>
      <c r="F511" s="4"/>
      <c r="G511" s="6"/>
      <c r="H511" s="6"/>
      <c r="I511" s="6"/>
      <c r="J511" s="6"/>
    </row>
    <row r="512" spans="1:10" ht="13.5" thickBot="1">
      <c r="A512" s="4"/>
      <c r="B512" s="4"/>
      <c r="C512" s="4"/>
      <c r="D512" s="5"/>
      <c r="E512" s="4"/>
      <c r="F512" s="4"/>
      <c r="G512" s="6"/>
      <c r="H512" s="6"/>
      <c r="I512" s="6"/>
      <c r="J512" s="6"/>
    </row>
    <row r="513" spans="1:10" ht="13.5" thickBot="1">
      <c r="A513" s="4"/>
      <c r="B513" s="4"/>
      <c r="C513" s="4"/>
      <c r="D513" s="5"/>
      <c r="E513" s="4"/>
      <c r="F513" s="4"/>
      <c r="G513" s="6"/>
      <c r="H513" s="6"/>
      <c r="I513" s="6"/>
      <c r="J513" s="6"/>
    </row>
    <row r="514" spans="1:10" ht="13.5" thickBot="1">
      <c r="A514" s="4"/>
      <c r="B514" s="4"/>
      <c r="C514" s="4"/>
      <c r="D514" s="5"/>
      <c r="E514" s="4"/>
      <c r="F514" s="4"/>
      <c r="G514" s="6"/>
      <c r="H514" s="6"/>
      <c r="I514" s="6"/>
      <c r="J514" s="6"/>
    </row>
    <row r="515" spans="1:10" ht="13.5" thickBot="1">
      <c r="A515" s="4"/>
      <c r="B515" s="4"/>
      <c r="C515" s="4"/>
      <c r="D515" s="5"/>
      <c r="E515" s="4"/>
      <c r="F515" s="4"/>
      <c r="G515" s="6"/>
      <c r="H515" s="6"/>
      <c r="I515" s="6"/>
      <c r="J515" s="6"/>
    </row>
    <row r="516" spans="1:10" ht="13.5" thickBot="1">
      <c r="A516" s="4"/>
      <c r="B516" s="4"/>
      <c r="C516" s="4"/>
      <c r="D516" s="5"/>
      <c r="E516" s="4"/>
      <c r="F516" s="4"/>
      <c r="G516" s="6"/>
      <c r="H516" s="6"/>
      <c r="I516" s="6"/>
      <c r="J516" s="6"/>
    </row>
    <row r="517" spans="1:10" ht="13.5" thickBot="1">
      <c r="A517" s="4"/>
      <c r="B517" s="4"/>
      <c r="C517" s="4"/>
      <c r="D517" s="5"/>
      <c r="E517" s="4"/>
      <c r="F517" s="4"/>
      <c r="G517" s="6"/>
      <c r="H517" s="6"/>
      <c r="I517" s="6"/>
      <c r="J517" s="6"/>
    </row>
    <row r="518" spans="1:10" ht="13.5" thickBot="1">
      <c r="A518" s="4"/>
      <c r="B518" s="4"/>
      <c r="C518" s="4"/>
      <c r="D518" s="5"/>
      <c r="E518" s="4"/>
      <c r="F518" s="4"/>
      <c r="G518" s="6"/>
      <c r="H518" s="6"/>
      <c r="I518" s="6"/>
      <c r="J518" s="6"/>
    </row>
    <row r="519" spans="1:10" ht="13.5" thickBot="1">
      <c r="A519" s="4"/>
      <c r="B519" s="4"/>
      <c r="C519" s="4"/>
      <c r="D519" s="5"/>
      <c r="E519" s="4"/>
      <c r="F519" s="4"/>
      <c r="G519" s="6"/>
      <c r="H519" s="6"/>
      <c r="I519" s="6"/>
      <c r="J519" s="6"/>
    </row>
    <row r="520" spans="1:10" ht="13.5" thickBot="1">
      <c r="A520" s="4"/>
      <c r="B520" s="4"/>
      <c r="C520" s="4"/>
      <c r="D520" s="5"/>
      <c r="E520" s="4"/>
      <c r="F520" s="4"/>
      <c r="G520" s="6"/>
      <c r="H520" s="6"/>
      <c r="I520" s="6"/>
      <c r="J520" s="6"/>
    </row>
    <row r="521" spans="1:10" ht="13.5" thickBot="1">
      <c r="A521" s="4"/>
      <c r="B521" s="4"/>
      <c r="C521" s="4"/>
      <c r="D521" s="5"/>
      <c r="E521" s="4"/>
      <c r="F521" s="4"/>
      <c r="G521" s="6"/>
      <c r="H521" s="6"/>
      <c r="I521" s="6"/>
      <c r="J521" s="6"/>
    </row>
    <row r="522" spans="1:10" ht="13.5" thickBot="1">
      <c r="A522" s="4"/>
      <c r="B522" s="4"/>
      <c r="C522" s="4"/>
      <c r="D522" s="5"/>
      <c r="E522" s="4"/>
      <c r="F522" s="4"/>
      <c r="G522" s="6"/>
      <c r="H522" s="6"/>
      <c r="I522" s="6"/>
      <c r="J522" s="6"/>
    </row>
    <row r="523" spans="1:10" ht="13.5" thickBot="1">
      <c r="A523" s="4"/>
      <c r="B523" s="4"/>
      <c r="C523" s="4"/>
      <c r="D523" s="5"/>
      <c r="E523" s="4"/>
      <c r="F523" s="4"/>
      <c r="G523" s="6"/>
      <c r="H523" s="6"/>
      <c r="I523" s="6"/>
      <c r="J523" s="6"/>
    </row>
    <row r="524" spans="1:10" ht="13.5" thickBot="1">
      <c r="A524" s="4"/>
      <c r="B524" s="4"/>
      <c r="C524" s="4"/>
      <c r="D524" s="5"/>
      <c r="E524" s="4"/>
      <c r="F524" s="4"/>
      <c r="G524" s="6"/>
      <c r="H524" s="6"/>
      <c r="I524" s="6"/>
      <c r="J524" s="6"/>
    </row>
    <row r="525" spans="1:10" ht="13.5" thickBot="1">
      <c r="A525" s="4"/>
      <c r="B525" s="4"/>
      <c r="C525" s="4"/>
      <c r="D525" s="5"/>
      <c r="E525" s="4"/>
      <c r="F525" s="4"/>
      <c r="G525" s="6"/>
      <c r="H525" s="6"/>
      <c r="I525" s="6"/>
      <c r="J525" s="6"/>
    </row>
    <row r="526" spans="1:10" ht="13.5" thickBot="1">
      <c r="A526" s="4"/>
      <c r="B526" s="4"/>
      <c r="C526" s="4"/>
      <c r="D526" s="5"/>
      <c r="E526" s="4"/>
      <c r="F526" s="4"/>
      <c r="G526" s="6"/>
      <c r="H526" s="6"/>
      <c r="I526" s="6"/>
      <c r="J526" s="6"/>
    </row>
    <row r="527" spans="1:10" ht="13.5" thickBot="1">
      <c r="A527" s="4"/>
      <c r="B527" s="4"/>
      <c r="C527" s="4"/>
      <c r="D527" s="5"/>
      <c r="E527" s="4"/>
      <c r="F527" s="4"/>
      <c r="G527" s="6"/>
      <c r="H527" s="6"/>
      <c r="I527" s="6"/>
      <c r="J527" s="6"/>
    </row>
    <row r="528" spans="1:10" ht="13.5" thickBot="1">
      <c r="A528" s="4"/>
      <c r="B528" s="4"/>
      <c r="C528" s="4"/>
      <c r="D528" s="5"/>
      <c r="E528" s="4"/>
      <c r="F528" s="4"/>
      <c r="G528" s="6"/>
      <c r="H528" s="6"/>
      <c r="I528" s="6"/>
      <c r="J528" s="6"/>
    </row>
    <row r="529" spans="1:10" ht="13.5" thickBot="1">
      <c r="A529" s="4"/>
      <c r="B529" s="4"/>
      <c r="C529" s="4"/>
      <c r="D529" s="5"/>
      <c r="E529" s="4"/>
      <c r="F529" s="4"/>
      <c r="G529" s="6"/>
      <c r="H529" s="6"/>
      <c r="I529" s="6"/>
      <c r="J529" s="6"/>
    </row>
    <row r="530" spans="1:10" ht="13.5" thickBot="1">
      <c r="A530" s="4"/>
      <c r="B530" s="4"/>
      <c r="C530" s="4"/>
      <c r="D530" s="5"/>
      <c r="E530" s="4"/>
      <c r="F530" s="4"/>
      <c r="G530" s="6"/>
      <c r="H530" s="6"/>
      <c r="I530" s="6"/>
      <c r="J530" s="6"/>
    </row>
    <row r="531" spans="1:10" ht="13.5" thickBot="1">
      <c r="A531" s="4"/>
      <c r="B531" s="4"/>
      <c r="C531" s="4"/>
      <c r="D531" s="5"/>
      <c r="E531" s="4"/>
      <c r="F531" s="4"/>
      <c r="G531" s="6"/>
      <c r="H531" s="6"/>
      <c r="I531" s="6"/>
      <c r="J531" s="6"/>
    </row>
    <row r="532" spans="1:10" ht="13.5" thickBot="1">
      <c r="A532" s="4"/>
      <c r="B532" s="4"/>
      <c r="C532" s="4"/>
      <c r="D532" s="5"/>
      <c r="E532" s="4"/>
      <c r="F532" s="4"/>
      <c r="G532" s="6"/>
      <c r="H532" s="6"/>
      <c r="I532" s="6"/>
      <c r="J532" s="6"/>
    </row>
    <row r="533" spans="1:10" ht="13.5" thickBot="1">
      <c r="A533" s="4"/>
      <c r="B533" s="4"/>
      <c r="C533" s="4"/>
      <c r="D533" s="5"/>
      <c r="E533" s="4"/>
      <c r="F533" s="4"/>
      <c r="G533" s="6"/>
      <c r="H533" s="6"/>
      <c r="I533" s="6"/>
      <c r="J533" s="6"/>
    </row>
    <row r="534" spans="1:10" ht="13.5" thickBot="1">
      <c r="A534" s="4"/>
      <c r="B534" s="4"/>
      <c r="C534" s="4"/>
      <c r="D534" s="5"/>
      <c r="E534" s="4"/>
      <c r="F534" s="4"/>
      <c r="G534" s="6"/>
      <c r="H534" s="6"/>
      <c r="I534" s="6"/>
      <c r="J534" s="6"/>
    </row>
    <row r="535" spans="1:10" ht="13.5" thickBot="1">
      <c r="A535" s="4"/>
      <c r="B535" s="4"/>
      <c r="C535" s="4"/>
      <c r="D535" s="5"/>
      <c r="E535" s="4"/>
      <c r="F535" s="4"/>
      <c r="G535" s="6"/>
      <c r="H535" s="6"/>
      <c r="I535" s="6"/>
      <c r="J535" s="6"/>
    </row>
    <row r="536" spans="1:10" ht="13.5" thickBot="1">
      <c r="A536" s="4"/>
      <c r="B536" s="4"/>
      <c r="C536" s="4"/>
      <c r="D536" s="5"/>
      <c r="E536" s="4"/>
      <c r="F536" s="4"/>
      <c r="G536" s="6"/>
      <c r="H536" s="6"/>
      <c r="I536" s="6"/>
      <c r="J536" s="6"/>
    </row>
    <row r="537" spans="1:10" ht="13.5" thickBot="1">
      <c r="A537" s="4"/>
      <c r="B537" s="4"/>
      <c r="C537" s="4"/>
      <c r="D537" s="5"/>
      <c r="E537" s="4"/>
      <c r="F537" s="4"/>
      <c r="G537" s="6"/>
      <c r="H537" s="6"/>
      <c r="I537" s="6"/>
      <c r="J537" s="6"/>
    </row>
    <row r="538" spans="1:10" ht="13.5" thickBot="1">
      <c r="A538" s="4"/>
      <c r="B538" s="4"/>
      <c r="C538" s="4"/>
      <c r="D538" s="5"/>
      <c r="E538" s="4"/>
      <c r="F538" s="4"/>
      <c r="G538" s="6"/>
      <c r="H538" s="6"/>
      <c r="I538" s="6"/>
      <c r="J538" s="6"/>
    </row>
    <row r="539" spans="1:10" ht="13.5" thickBot="1">
      <c r="A539" s="4"/>
      <c r="B539" s="4"/>
      <c r="C539" s="4"/>
      <c r="D539" s="5"/>
      <c r="E539" s="4"/>
      <c r="F539" s="4"/>
      <c r="G539" s="6"/>
      <c r="H539" s="6"/>
      <c r="I539" s="6"/>
      <c r="J539" s="6"/>
    </row>
    <row r="540" spans="1:10" ht="13.5" thickBot="1">
      <c r="A540" s="4"/>
      <c r="B540" s="4"/>
      <c r="C540" s="4"/>
      <c r="D540" s="5"/>
      <c r="E540" s="4"/>
      <c r="F540" s="4"/>
      <c r="G540" s="6"/>
      <c r="H540" s="6"/>
      <c r="I540" s="6"/>
      <c r="J540" s="6"/>
    </row>
    <row r="541" spans="1:10" ht="13.5" thickBot="1">
      <c r="A541" s="4"/>
      <c r="B541" s="4"/>
      <c r="C541" s="4"/>
      <c r="D541" s="5"/>
      <c r="E541" s="4"/>
      <c r="F541" s="4"/>
      <c r="G541" s="6"/>
      <c r="H541" s="6"/>
      <c r="I541" s="6"/>
      <c r="J541" s="6"/>
    </row>
    <row r="542" spans="1:10" ht="13.5" thickBot="1">
      <c r="A542" s="4"/>
      <c r="B542" s="4"/>
      <c r="C542" s="4"/>
      <c r="D542" s="5"/>
      <c r="E542" s="4"/>
      <c r="F542" s="4"/>
      <c r="G542" s="6"/>
      <c r="H542" s="6"/>
      <c r="I542" s="6"/>
      <c r="J542" s="6"/>
    </row>
    <row r="543" spans="1:10" ht="13.5" thickBot="1">
      <c r="A543" s="4"/>
      <c r="B543" s="4"/>
      <c r="C543" s="4"/>
      <c r="D543" s="5"/>
      <c r="E543" s="4"/>
      <c r="F543" s="4"/>
      <c r="G543" s="6"/>
      <c r="H543" s="6"/>
      <c r="I543" s="6"/>
      <c r="J543" s="6"/>
    </row>
    <row r="544" spans="1:10" ht="13.5" thickBot="1">
      <c r="A544" s="4"/>
      <c r="B544" s="4"/>
      <c r="C544" s="4"/>
      <c r="D544" s="5"/>
      <c r="E544" s="4"/>
      <c r="F544" s="4"/>
      <c r="G544" s="6"/>
      <c r="H544" s="6"/>
      <c r="I544" s="6"/>
      <c r="J544" s="6"/>
    </row>
    <row r="545" spans="1:10" ht="13.5" thickBot="1">
      <c r="A545" s="4"/>
      <c r="B545" s="4"/>
      <c r="C545" s="4"/>
      <c r="D545" s="5"/>
      <c r="E545" s="4"/>
      <c r="F545" s="4"/>
      <c r="G545" s="6"/>
      <c r="H545" s="6"/>
      <c r="I545" s="6"/>
      <c r="J545" s="6"/>
    </row>
    <row r="546" spans="1:10" ht="13.5" thickBot="1">
      <c r="A546" s="4"/>
      <c r="B546" s="4"/>
      <c r="C546" s="4"/>
      <c r="D546" s="5"/>
      <c r="E546" s="4"/>
      <c r="F546" s="4"/>
      <c r="G546" s="6"/>
      <c r="H546" s="6"/>
      <c r="I546" s="6"/>
      <c r="J546" s="6"/>
    </row>
    <row r="547" spans="1:10" ht="13.5" thickBot="1">
      <c r="A547" s="4"/>
      <c r="B547" s="4"/>
      <c r="C547" s="4"/>
      <c r="D547" s="5"/>
      <c r="E547" s="4"/>
      <c r="F547" s="4"/>
      <c r="G547" s="6"/>
      <c r="H547" s="6"/>
      <c r="I547" s="6"/>
      <c r="J547" s="6"/>
    </row>
    <row r="548" spans="1:10" ht="13.5" thickBot="1">
      <c r="A548" s="4"/>
      <c r="B548" s="4"/>
      <c r="C548" s="4"/>
      <c r="D548" s="5"/>
      <c r="E548" s="4"/>
      <c r="F548" s="4"/>
      <c r="G548" s="6"/>
      <c r="H548" s="6"/>
      <c r="I548" s="6"/>
      <c r="J548" s="6"/>
    </row>
    <row r="549" spans="1:10" ht="13.5" thickBot="1">
      <c r="A549" s="4"/>
      <c r="B549" s="4"/>
      <c r="C549" s="4"/>
      <c r="D549" s="5"/>
      <c r="E549" s="4"/>
      <c r="F549" s="4"/>
      <c r="G549" s="6"/>
      <c r="H549" s="6"/>
      <c r="I549" s="6"/>
      <c r="J549" s="6"/>
    </row>
    <row r="550" spans="1:10" ht="13.5" thickBot="1">
      <c r="A550" s="4"/>
      <c r="B550" s="4"/>
      <c r="C550" s="4"/>
      <c r="D550" s="5"/>
      <c r="E550" s="4"/>
      <c r="F550" s="4"/>
      <c r="G550" s="6"/>
      <c r="H550" s="6"/>
      <c r="I550" s="6"/>
      <c r="J550" s="6"/>
    </row>
    <row r="551" spans="1:10" ht="13.5" thickBot="1">
      <c r="A551" s="4"/>
      <c r="B551" s="4"/>
      <c r="C551" s="4"/>
      <c r="D551" s="5"/>
      <c r="E551" s="4"/>
      <c r="F551" s="4"/>
      <c r="G551" s="6"/>
      <c r="H551" s="6"/>
      <c r="I551" s="6"/>
      <c r="J551" s="6"/>
    </row>
    <row r="552" spans="1:10" ht="13.5" thickBot="1">
      <c r="A552" s="4"/>
      <c r="B552" s="4"/>
      <c r="C552" s="4"/>
      <c r="D552" s="5"/>
      <c r="E552" s="4"/>
      <c r="F552" s="4"/>
      <c r="G552" s="6"/>
      <c r="H552" s="6"/>
      <c r="I552" s="6"/>
      <c r="J552" s="6"/>
    </row>
    <row r="553" spans="1:10" ht="13.5" thickBot="1">
      <c r="A553" s="4"/>
      <c r="B553" s="4"/>
      <c r="C553" s="4"/>
      <c r="D553" s="5"/>
      <c r="E553" s="4"/>
      <c r="F553" s="4"/>
      <c r="G553" s="6"/>
      <c r="H553" s="6"/>
      <c r="I553" s="6"/>
      <c r="J553" s="6"/>
    </row>
    <row r="554" spans="1:10" ht="13.5" thickBot="1">
      <c r="A554" s="4"/>
      <c r="B554" s="4"/>
      <c r="C554" s="4"/>
      <c r="D554" s="5"/>
      <c r="E554" s="4"/>
      <c r="F554" s="4"/>
      <c r="G554" s="6"/>
      <c r="H554" s="6"/>
      <c r="I554" s="6"/>
      <c r="J554" s="6"/>
    </row>
    <row r="555" spans="1:10" ht="13.5" thickBot="1">
      <c r="A555" s="4"/>
      <c r="B555" s="4"/>
      <c r="C555" s="4"/>
      <c r="D555" s="5"/>
      <c r="E555" s="4"/>
      <c r="F555" s="4"/>
      <c r="G555" s="6"/>
      <c r="H555" s="6"/>
      <c r="I555" s="6"/>
      <c r="J555" s="6"/>
    </row>
    <row r="556" spans="1:10" ht="13.5" thickBot="1">
      <c r="A556" s="4"/>
      <c r="B556" s="4"/>
      <c r="C556" s="4"/>
      <c r="D556" s="5"/>
      <c r="E556" s="4"/>
      <c r="F556" s="4"/>
      <c r="G556" s="6"/>
      <c r="H556" s="6"/>
      <c r="I556" s="6"/>
      <c r="J556" s="6"/>
    </row>
    <row r="557" spans="1:10" ht="13.5" thickBot="1">
      <c r="A557" s="4"/>
      <c r="B557" s="4"/>
      <c r="C557" s="4"/>
      <c r="D557" s="5"/>
      <c r="E557" s="4"/>
      <c r="F557" s="4"/>
      <c r="G557" s="6"/>
      <c r="H557" s="6"/>
      <c r="I557" s="6"/>
      <c r="J557" s="6"/>
    </row>
    <row r="558" spans="1:10" ht="13.5" thickBot="1">
      <c r="A558" s="4"/>
      <c r="B558" s="4"/>
      <c r="C558" s="4"/>
      <c r="D558" s="5"/>
      <c r="E558" s="4"/>
      <c r="F558" s="4"/>
      <c r="G558" s="6"/>
      <c r="H558" s="6"/>
      <c r="I558" s="6"/>
      <c r="J558" s="6"/>
    </row>
    <row r="559" spans="1:10" ht="13.5" thickBot="1">
      <c r="A559" s="4"/>
      <c r="B559" s="4"/>
      <c r="C559" s="4"/>
      <c r="D559" s="5"/>
      <c r="E559" s="4"/>
      <c r="F559" s="4"/>
      <c r="G559" s="6"/>
      <c r="H559" s="6"/>
      <c r="I559" s="6"/>
      <c r="J559" s="6"/>
    </row>
    <row r="560" spans="1:10" ht="13.5" thickBot="1">
      <c r="A560" s="4"/>
      <c r="B560" s="4"/>
      <c r="C560" s="4"/>
      <c r="D560" s="5"/>
      <c r="E560" s="4"/>
      <c r="F560" s="4"/>
      <c r="G560" s="6"/>
      <c r="H560" s="6"/>
      <c r="I560" s="6"/>
      <c r="J560" s="6"/>
    </row>
    <row r="561" spans="1:10" ht="13.5" thickBot="1">
      <c r="A561" s="4"/>
      <c r="B561" s="4"/>
      <c r="C561" s="4"/>
      <c r="D561" s="5"/>
      <c r="E561" s="4"/>
      <c r="F561" s="4"/>
      <c r="G561" s="6"/>
      <c r="H561" s="6"/>
      <c r="I561" s="6"/>
      <c r="J561" s="6"/>
    </row>
    <row r="562" spans="1:10" ht="13.5" thickBot="1">
      <c r="A562" s="4"/>
      <c r="B562" s="4"/>
      <c r="C562" s="4"/>
      <c r="D562" s="5"/>
      <c r="E562" s="4"/>
      <c r="F562" s="4"/>
      <c r="G562" s="6"/>
      <c r="H562" s="6"/>
      <c r="I562" s="6"/>
      <c r="J562" s="6"/>
    </row>
    <row r="563" spans="1:10" ht="13.5" thickBot="1">
      <c r="A563" s="4"/>
      <c r="B563" s="4"/>
      <c r="C563" s="4"/>
      <c r="D563" s="5"/>
      <c r="E563" s="4"/>
      <c r="F563" s="4"/>
      <c r="G563" s="6"/>
      <c r="H563" s="6"/>
      <c r="I563" s="6"/>
      <c r="J563" s="6"/>
    </row>
    <row r="564" spans="1:10" ht="13.5" thickBot="1">
      <c r="A564" s="4"/>
      <c r="B564" s="4"/>
      <c r="C564" s="4"/>
      <c r="D564" s="5"/>
      <c r="E564" s="4"/>
      <c r="F564" s="4"/>
      <c r="G564" s="6"/>
      <c r="H564" s="6"/>
      <c r="I564" s="6"/>
      <c r="J564" s="6"/>
    </row>
    <row r="565" spans="1:10" ht="13.5" thickBot="1">
      <c r="A565" s="4"/>
      <c r="B565" s="4"/>
      <c r="C565" s="4"/>
      <c r="D565" s="5"/>
      <c r="E565" s="4"/>
      <c r="F565" s="4"/>
      <c r="G565" s="6"/>
      <c r="H565" s="6"/>
      <c r="I565" s="6"/>
      <c r="J565" s="6"/>
    </row>
    <row r="566" spans="1:10" ht="13.5" thickBot="1">
      <c r="A566" s="4"/>
      <c r="B566" s="4"/>
      <c r="C566" s="4"/>
      <c r="D566" s="5"/>
      <c r="E566" s="4"/>
      <c r="F566" s="4"/>
      <c r="G566" s="6"/>
      <c r="H566" s="6"/>
      <c r="I566" s="6"/>
      <c r="J566" s="6"/>
    </row>
    <row r="567" spans="1:10" ht="13.5" thickBot="1">
      <c r="A567" s="4"/>
      <c r="B567" s="4"/>
      <c r="C567" s="4"/>
      <c r="D567" s="5"/>
      <c r="E567" s="4"/>
      <c r="F567" s="4"/>
      <c r="G567" s="6"/>
      <c r="H567" s="6"/>
      <c r="I567" s="6"/>
      <c r="J567" s="6"/>
    </row>
    <row r="568" spans="1:10" ht="13.5" thickBot="1">
      <c r="A568" s="4"/>
      <c r="B568" s="4"/>
      <c r="C568" s="4"/>
      <c r="D568" s="5"/>
      <c r="E568" s="4"/>
      <c r="F568" s="4"/>
      <c r="G568" s="6"/>
      <c r="H568" s="6"/>
      <c r="I568" s="6"/>
      <c r="J568" s="6"/>
    </row>
    <row r="569" spans="1:10" ht="13.5" thickBot="1">
      <c r="A569" s="4"/>
      <c r="B569" s="4"/>
      <c r="C569" s="4"/>
      <c r="D569" s="5"/>
      <c r="E569" s="4"/>
      <c r="F569" s="4"/>
      <c r="G569" s="6"/>
      <c r="H569" s="6"/>
      <c r="I569" s="6"/>
      <c r="J569" s="6"/>
    </row>
    <row r="570" spans="1:10" ht="13.5" thickBot="1">
      <c r="A570" s="4"/>
      <c r="B570" s="4"/>
      <c r="C570" s="4"/>
      <c r="D570" s="5"/>
      <c r="E570" s="4"/>
      <c r="F570" s="4"/>
      <c r="G570" s="6"/>
      <c r="H570" s="6"/>
      <c r="I570" s="6"/>
      <c r="J570" s="6"/>
    </row>
    <row r="571" spans="1:10" ht="13.5" thickBot="1">
      <c r="A571" s="4"/>
      <c r="B571" s="4"/>
      <c r="C571" s="4"/>
      <c r="D571" s="5"/>
      <c r="E571" s="4"/>
      <c r="F571" s="4"/>
      <c r="G571" s="6"/>
      <c r="H571" s="6"/>
      <c r="I571" s="6"/>
      <c r="J571" s="6"/>
    </row>
    <row r="572" spans="1:10" ht="13.5" thickBot="1">
      <c r="A572" s="4"/>
      <c r="B572" s="4"/>
      <c r="C572" s="4"/>
      <c r="D572" s="5"/>
      <c r="E572" s="4"/>
      <c r="F572" s="4"/>
      <c r="G572" s="6"/>
      <c r="H572" s="6"/>
      <c r="I572" s="6"/>
      <c r="J572" s="6"/>
    </row>
    <row r="573" spans="1:10" ht="13.5" thickBot="1">
      <c r="A573" s="4"/>
      <c r="B573" s="4"/>
      <c r="C573" s="4"/>
      <c r="D573" s="5"/>
      <c r="E573" s="4"/>
      <c r="F573" s="4"/>
      <c r="G573" s="6"/>
      <c r="H573" s="6"/>
      <c r="I573" s="6"/>
      <c r="J573" s="6"/>
    </row>
    <row r="574" spans="1:10" ht="13.5" thickBot="1">
      <c r="A574" s="4"/>
      <c r="B574" s="4"/>
      <c r="C574" s="4"/>
      <c r="D574" s="5"/>
      <c r="E574" s="4"/>
      <c r="F574" s="4"/>
      <c r="G574" s="6"/>
      <c r="H574" s="6"/>
      <c r="I574" s="6"/>
      <c r="J574" s="6"/>
    </row>
    <row r="575" spans="1:10" ht="13.5" thickBot="1">
      <c r="A575" s="4"/>
      <c r="B575" s="4"/>
      <c r="C575" s="4"/>
      <c r="D575" s="5"/>
      <c r="E575" s="4"/>
      <c r="F575" s="4"/>
      <c r="G575" s="6"/>
      <c r="H575" s="6"/>
      <c r="I575" s="6"/>
      <c r="J575" s="6"/>
    </row>
    <row r="576" spans="1:10" ht="13.5" thickBot="1">
      <c r="A576" s="4"/>
      <c r="B576" s="4"/>
      <c r="C576" s="4"/>
      <c r="D576" s="5"/>
      <c r="E576" s="4"/>
      <c r="F576" s="4"/>
      <c r="G576" s="6"/>
      <c r="H576" s="6"/>
      <c r="I576" s="6"/>
      <c r="J576" s="6"/>
    </row>
    <row r="577" spans="1:10" ht="13.5" thickBot="1">
      <c r="A577" s="4"/>
      <c r="B577" s="4"/>
      <c r="C577" s="4"/>
      <c r="D577" s="5"/>
      <c r="E577" s="4"/>
      <c r="F577" s="4"/>
      <c r="G577" s="6"/>
      <c r="H577" s="6"/>
      <c r="I577" s="6"/>
      <c r="J577" s="6"/>
    </row>
    <row r="578" spans="1:10" ht="13.5" thickBot="1">
      <c r="A578" s="4"/>
      <c r="B578" s="4"/>
      <c r="C578" s="4"/>
      <c r="D578" s="5"/>
      <c r="E578" s="4"/>
      <c r="F578" s="4"/>
      <c r="G578" s="6"/>
      <c r="H578" s="6"/>
      <c r="I578" s="6"/>
      <c r="J578" s="6"/>
    </row>
    <row r="579" spans="1:10" ht="13.5" thickBot="1">
      <c r="A579" s="4"/>
      <c r="B579" s="4"/>
      <c r="C579" s="4"/>
      <c r="D579" s="5"/>
      <c r="E579" s="4"/>
      <c r="F579" s="4"/>
      <c r="G579" s="6"/>
      <c r="H579" s="6"/>
      <c r="I579" s="6"/>
      <c r="J579" s="6"/>
    </row>
    <row r="580" spans="1:10" ht="13.5" thickBot="1">
      <c r="A580" s="4"/>
      <c r="B580" s="4"/>
      <c r="C580" s="4"/>
      <c r="D580" s="5"/>
      <c r="E580" s="4"/>
      <c r="F580" s="4"/>
      <c r="G580" s="6"/>
      <c r="H580" s="6"/>
      <c r="I580" s="6"/>
      <c r="J580" s="6"/>
    </row>
    <row r="581" spans="1:10" ht="13.5" thickBot="1">
      <c r="A581" s="4"/>
      <c r="B581" s="4"/>
      <c r="C581" s="4"/>
      <c r="D581" s="5"/>
      <c r="E581" s="4"/>
      <c r="F581" s="4"/>
      <c r="G581" s="6"/>
      <c r="H581" s="6"/>
      <c r="I581" s="6"/>
      <c r="J581" s="6"/>
    </row>
    <row r="582" spans="1:10" ht="13.5" thickBot="1">
      <c r="A582" s="4"/>
      <c r="B582" s="4"/>
      <c r="C582" s="4"/>
      <c r="D582" s="5"/>
      <c r="E582" s="4"/>
      <c r="F582" s="4"/>
      <c r="G582" s="6"/>
      <c r="H582" s="6"/>
      <c r="I582" s="6"/>
      <c r="J582" s="6"/>
    </row>
    <row r="583" spans="1:10" ht="13.5" thickBot="1">
      <c r="A583" s="4"/>
      <c r="B583" s="4"/>
      <c r="C583" s="4"/>
      <c r="D583" s="5"/>
      <c r="E583" s="4"/>
      <c r="F583" s="4"/>
      <c r="G583" s="6"/>
      <c r="H583" s="6"/>
      <c r="I583" s="6"/>
      <c r="J583" s="6"/>
    </row>
    <row r="584" spans="1:10" ht="13.5" thickBot="1">
      <c r="A584" s="4"/>
      <c r="B584" s="4"/>
      <c r="C584" s="4"/>
      <c r="D584" s="5"/>
      <c r="E584" s="4"/>
      <c r="F584" s="4"/>
      <c r="G584" s="6"/>
      <c r="H584" s="6"/>
      <c r="I584" s="6"/>
      <c r="J584" s="6"/>
    </row>
    <row r="585" spans="1:10" ht="13.5" thickBot="1">
      <c r="A585" s="4"/>
      <c r="B585" s="4"/>
      <c r="C585" s="4"/>
      <c r="D585" s="5"/>
      <c r="E585" s="4"/>
      <c r="F585" s="4"/>
      <c r="G585" s="6"/>
      <c r="H585" s="6"/>
      <c r="I585" s="6"/>
      <c r="J585" s="6"/>
    </row>
    <row r="586" spans="1:10" ht="13.5" thickBot="1">
      <c r="A586" s="4"/>
      <c r="B586" s="4"/>
      <c r="C586" s="4"/>
      <c r="D586" s="5"/>
      <c r="E586" s="4"/>
      <c r="F586" s="4"/>
      <c r="G586" s="6"/>
      <c r="H586" s="6"/>
      <c r="I586" s="6"/>
      <c r="J586" s="6"/>
    </row>
    <row r="587" spans="1:10" ht="13.5" thickBot="1">
      <c r="A587" s="4"/>
      <c r="B587" s="4"/>
      <c r="C587" s="4"/>
      <c r="D587" s="5"/>
      <c r="E587" s="4"/>
      <c r="F587" s="4"/>
      <c r="G587" s="6"/>
      <c r="H587" s="6"/>
      <c r="I587" s="6"/>
      <c r="J587" s="6"/>
    </row>
    <row r="588" spans="1:10" ht="13.5" thickBot="1">
      <c r="A588" s="4"/>
      <c r="B588" s="4"/>
      <c r="C588" s="4"/>
      <c r="D588" s="5"/>
      <c r="E588" s="4"/>
      <c r="F588" s="4"/>
      <c r="G588" s="6"/>
      <c r="H588" s="6"/>
      <c r="I588" s="6"/>
      <c r="J588" s="6"/>
    </row>
    <row r="589" spans="1:10" ht="13.5" thickBot="1">
      <c r="A589" s="4"/>
      <c r="B589" s="4"/>
      <c r="C589" s="4"/>
      <c r="D589" s="5"/>
      <c r="E589" s="4"/>
      <c r="F589" s="4"/>
      <c r="G589" s="6"/>
      <c r="H589" s="6"/>
      <c r="I589" s="6"/>
      <c r="J589" s="6"/>
    </row>
    <row r="590" spans="1:10" ht="13.5" thickBot="1">
      <c r="A590" s="4"/>
      <c r="B590" s="4"/>
      <c r="C590" s="4"/>
      <c r="D590" s="5"/>
      <c r="E590" s="4"/>
      <c r="F590" s="4"/>
      <c r="G590" s="6"/>
      <c r="H590" s="6"/>
      <c r="I590" s="6"/>
      <c r="J590" s="6"/>
    </row>
    <row r="591" spans="1:10" ht="13.5" thickBot="1">
      <c r="A591" s="4"/>
      <c r="B591" s="4"/>
      <c r="C591" s="4"/>
      <c r="D591" s="5"/>
      <c r="E591" s="4"/>
      <c r="F591" s="4"/>
      <c r="G591" s="6"/>
      <c r="H591" s="6"/>
      <c r="I591" s="6"/>
      <c r="J591" s="6"/>
    </row>
    <row r="592" spans="1:10" ht="13.5" thickBot="1">
      <c r="A592" s="4"/>
      <c r="B592" s="4"/>
      <c r="C592" s="4"/>
      <c r="D592" s="5"/>
      <c r="E592" s="4"/>
      <c r="F592" s="4"/>
      <c r="G592" s="6"/>
      <c r="H592" s="6"/>
      <c r="I592" s="6"/>
      <c r="J592" s="6"/>
    </row>
    <row r="593" spans="1:10" ht="13.5" thickBot="1">
      <c r="A593" s="4"/>
      <c r="B593" s="4"/>
      <c r="C593" s="4"/>
      <c r="D593" s="5"/>
      <c r="E593" s="4"/>
      <c r="F593" s="4"/>
      <c r="G593" s="6"/>
      <c r="H593" s="6"/>
      <c r="I593" s="6"/>
      <c r="J593" s="6"/>
    </row>
    <row r="594" spans="1:10" ht="13.5" thickBot="1">
      <c r="A594" s="4"/>
      <c r="B594" s="4"/>
      <c r="C594" s="4"/>
      <c r="D594" s="5"/>
      <c r="E594" s="4"/>
      <c r="F594" s="4"/>
      <c r="G594" s="6"/>
      <c r="H594" s="6"/>
      <c r="I594" s="6"/>
      <c r="J594" s="6"/>
    </row>
    <row r="595" spans="1:10" ht="13.5" thickBot="1">
      <c r="A595" s="4"/>
      <c r="B595" s="4"/>
      <c r="C595" s="4"/>
      <c r="D595" s="5"/>
      <c r="E595" s="4"/>
      <c r="F595" s="4"/>
      <c r="G595" s="6"/>
      <c r="H595" s="6"/>
      <c r="I595" s="6"/>
      <c r="J595" s="6"/>
    </row>
    <row r="596" spans="1:10" ht="13.5" thickBot="1">
      <c r="A596" s="4"/>
      <c r="B596" s="4"/>
      <c r="C596" s="4"/>
      <c r="D596" s="5"/>
      <c r="E596" s="4"/>
      <c r="F596" s="4"/>
      <c r="G596" s="6"/>
      <c r="H596" s="6"/>
      <c r="I596" s="6"/>
      <c r="J596" s="6"/>
    </row>
    <row r="597" spans="1:10" ht="13.5" thickBot="1">
      <c r="A597" s="4"/>
      <c r="B597" s="4"/>
      <c r="C597" s="4"/>
      <c r="D597" s="5"/>
      <c r="E597" s="4"/>
      <c r="F597" s="4"/>
      <c r="G597" s="6"/>
      <c r="H597" s="6"/>
      <c r="I597" s="6"/>
      <c r="J597" s="6"/>
    </row>
    <row r="598" spans="1:10" ht="13.5" thickBot="1">
      <c r="A598" s="4"/>
      <c r="B598" s="4"/>
      <c r="C598" s="4"/>
      <c r="D598" s="5"/>
      <c r="E598" s="4"/>
      <c r="F598" s="4"/>
      <c r="G598" s="6"/>
      <c r="H598" s="6"/>
      <c r="I598" s="6"/>
      <c r="J598" s="6"/>
    </row>
    <row r="599" spans="1:10" ht="13.5" thickBot="1">
      <c r="A599" s="4"/>
      <c r="B599" s="4"/>
      <c r="C599" s="4"/>
      <c r="D599" s="5"/>
      <c r="E599" s="4"/>
      <c r="F599" s="4"/>
      <c r="G599" s="6"/>
      <c r="H599" s="6"/>
      <c r="I599" s="6"/>
      <c r="J599" s="6"/>
    </row>
    <row r="600" spans="1:10" ht="13.5" thickBot="1">
      <c r="A600" s="4"/>
      <c r="B600" s="4"/>
      <c r="C600" s="4"/>
      <c r="D600" s="5"/>
      <c r="E600" s="4"/>
      <c r="F600" s="4"/>
      <c r="G600" s="6"/>
      <c r="H600" s="6"/>
      <c r="I600" s="6"/>
      <c r="J600" s="6"/>
    </row>
    <row r="601" spans="1:10" ht="13.5" thickBot="1">
      <c r="A601" s="4"/>
      <c r="B601" s="4"/>
      <c r="C601" s="4"/>
      <c r="D601" s="5"/>
      <c r="E601" s="4"/>
      <c r="F601" s="4"/>
      <c r="G601" s="6"/>
      <c r="H601" s="6"/>
      <c r="I601" s="6"/>
      <c r="J601" s="6"/>
    </row>
    <row r="602" spans="1:10" ht="13.5" thickBot="1">
      <c r="A602" s="4"/>
      <c r="B602" s="4"/>
      <c r="C602" s="4"/>
      <c r="D602" s="5"/>
      <c r="E602" s="4"/>
      <c r="F602" s="4"/>
      <c r="G602" s="6"/>
      <c r="H602" s="6"/>
      <c r="I602" s="6"/>
      <c r="J602" s="6"/>
    </row>
    <row r="603" spans="1:10" ht="13.5" thickBot="1">
      <c r="A603" s="4"/>
      <c r="B603" s="4"/>
      <c r="C603" s="4"/>
      <c r="D603" s="5"/>
      <c r="E603" s="4"/>
      <c r="F603" s="4"/>
      <c r="G603" s="6"/>
      <c r="H603" s="6"/>
      <c r="I603" s="6"/>
      <c r="J603" s="6"/>
    </row>
    <row r="604" spans="1:10" ht="13.5" thickBot="1">
      <c r="A604" s="4"/>
      <c r="B604" s="4"/>
      <c r="C604" s="4"/>
      <c r="D604" s="5"/>
      <c r="E604" s="4"/>
      <c r="F604" s="4"/>
      <c r="G604" s="6"/>
      <c r="H604" s="6"/>
      <c r="I604" s="6"/>
      <c r="J604" s="6"/>
    </row>
    <row r="605" spans="1:10" ht="13.5" thickBot="1">
      <c r="A605" s="4"/>
      <c r="B605" s="4"/>
      <c r="C605" s="4"/>
      <c r="D605" s="5"/>
      <c r="E605" s="4"/>
      <c r="F605" s="4"/>
      <c r="G605" s="6"/>
      <c r="H605" s="6"/>
      <c r="I605" s="6"/>
      <c r="J605" s="6"/>
    </row>
    <row r="606" spans="1:10" ht="13.5" thickBot="1">
      <c r="A606" s="4"/>
      <c r="B606" s="4"/>
      <c r="C606" s="4"/>
      <c r="D606" s="5"/>
      <c r="E606" s="4"/>
      <c r="F606" s="4"/>
      <c r="G606" s="6"/>
      <c r="H606" s="6"/>
      <c r="I606" s="6"/>
      <c r="J606" s="6"/>
    </row>
    <row r="607" spans="1:10" ht="13.5" thickBot="1">
      <c r="A607" s="4"/>
      <c r="B607" s="4"/>
      <c r="C607" s="4"/>
      <c r="D607" s="5"/>
      <c r="E607" s="4"/>
      <c r="F607" s="4"/>
      <c r="G607" s="6"/>
      <c r="H607" s="6"/>
      <c r="I607" s="6"/>
      <c r="J607" s="6"/>
    </row>
    <row r="608" spans="1:10" ht="13.5" thickBot="1">
      <c r="A608" s="4"/>
      <c r="B608" s="4"/>
      <c r="C608" s="4"/>
      <c r="D608" s="5"/>
      <c r="E608" s="4"/>
      <c r="F608" s="4"/>
      <c r="G608" s="6"/>
      <c r="H608" s="6"/>
      <c r="I608" s="6"/>
      <c r="J608" s="6"/>
    </row>
    <row r="609" spans="1:10" ht="13.5" thickBot="1">
      <c r="A609" s="4"/>
      <c r="B609" s="4"/>
      <c r="C609" s="4"/>
      <c r="D609" s="5"/>
      <c r="E609" s="4"/>
      <c r="F609" s="4"/>
      <c r="G609" s="6"/>
      <c r="H609" s="6"/>
      <c r="I609" s="6"/>
      <c r="J609" s="6"/>
    </row>
    <row r="610" spans="1:10" ht="13.5" thickBot="1">
      <c r="A610" s="4"/>
      <c r="B610" s="4"/>
      <c r="C610" s="4"/>
      <c r="D610" s="5"/>
      <c r="E610" s="4"/>
      <c r="F610" s="4"/>
      <c r="G610" s="6"/>
      <c r="H610" s="6"/>
      <c r="I610" s="6"/>
      <c r="J610" s="6"/>
    </row>
    <row r="611" spans="1:10" ht="13.5" thickBot="1">
      <c r="A611" s="4"/>
      <c r="B611" s="4"/>
      <c r="C611" s="4"/>
      <c r="D611" s="5"/>
      <c r="E611" s="4"/>
      <c r="F611" s="4"/>
      <c r="G611" s="6"/>
      <c r="H611" s="6"/>
      <c r="I611" s="6"/>
      <c r="J611" s="6"/>
    </row>
    <row r="612" spans="1:10" ht="13.5" thickBot="1">
      <c r="A612" s="4"/>
      <c r="B612" s="4"/>
      <c r="C612" s="4"/>
      <c r="D612" s="5"/>
      <c r="E612" s="4"/>
      <c r="F612" s="4"/>
      <c r="G612" s="6"/>
      <c r="H612" s="6"/>
      <c r="I612" s="6"/>
      <c r="J612" s="6"/>
    </row>
    <row r="613" spans="1:10" ht="13.5" thickBot="1">
      <c r="A613" s="4"/>
      <c r="B613" s="4"/>
      <c r="C613" s="4"/>
      <c r="D613" s="5"/>
      <c r="E613" s="4"/>
      <c r="F613" s="4"/>
      <c r="G613" s="6"/>
      <c r="H613" s="6"/>
      <c r="I613" s="6"/>
      <c r="J613" s="6"/>
    </row>
    <row r="614" spans="1:10" ht="13.5" thickBot="1">
      <c r="A614" s="4"/>
      <c r="B614" s="4"/>
      <c r="C614" s="4"/>
      <c r="D614" s="5"/>
      <c r="E614" s="4"/>
      <c r="F614" s="4"/>
      <c r="G614" s="6"/>
      <c r="H614" s="6"/>
      <c r="I614" s="6"/>
      <c r="J614" s="6"/>
    </row>
    <row r="615" spans="1:10" ht="13.5" thickBot="1">
      <c r="A615" s="4"/>
      <c r="B615" s="4"/>
      <c r="C615" s="4"/>
      <c r="D615" s="5"/>
      <c r="E615" s="4"/>
      <c r="F615" s="4"/>
      <c r="G615" s="6"/>
      <c r="H615" s="6"/>
      <c r="I615" s="6"/>
      <c r="J615" s="6"/>
    </row>
    <row r="616" spans="1:10" ht="13.5" thickBot="1">
      <c r="A616" s="4"/>
      <c r="B616" s="4"/>
      <c r="C616" s="4"/>
      <c r="D616" s="5"/>
      <c r="E616" s="4"/>
      <c r="F616" s="4"/>
      <c r="G616" s="6"/>
      <c r="H616" s="6"/>
      <c r="I616" s="6"/>
      <c r="J616" s="6"/>
    </row>
    <row r="617" spans="1:10" ht="13.5" thickBot="1">
      <c r="A617" s="4"/>
      <c r="B617" s="4"/>
      <c r="C617" s="4"/>
      <c r="D617" s="5"/>
      <c r="E617" s="4"/>
      <c r="F617" s="4"/>
      <c r="G617" s="6"/>
      <c r="H617" s="6"/>
      <c r="I617" s="6"/>
      <c r="J617" s="6"/>
    </row>
    <row r="618" spans="1:10" ht="13.5" thickBot="1">
      <c r="A618" s="4"/>
      <c r="B618" s="4"/>
      <c r="C618" s="4"/>
      <c r="D618" s="5"/>
      <c r="E618" s="4"/>
      <c r="F618" s="4"/>
      <c r="G618" s="6"/>
      <c r="H618" s="6"/>
      <c r="I618" s="6"/>
      <c r="J618" s="6"/>
    </row>
    <row r="619" spans="1:10" ht="13.5" thickBot="1">
      <c r="A619" s="4"/>
      <c r="B619" s="4"/>
      <c r="C619" s="4"/>
      <c r="D619" s="5"/>
      <c r="E619" s="4"/>
      <c r="F619" s="4"/>
      <c r="G619" s="6"/>
      <c r="H619" s="6"/>
      <c r="I619" s="6"/>
      <c r="J619" s="6"/>
    </row>
    <row r="620" spans="1:10" ht="13.5" thickBot="1">
      <c r="A620" s="4"/>
      <c r="B620" s="4"/>
      <c r="C620" s="4"/>
      <c r="D620" s="5"/>
      <c r="E620" s="4"/>
      <c r="F620" s="4"/>
      <c r="G620" s="6"/>
      <c r="H620" s="6"/>
      <c r="I620" s="6"/>
      <c r="J620" s="6"/>
    </row>
    <row r="621" spans="1:10" ht="13.5" thickBot="1">
      <c r="A621" s="4"/>
      <c r="B621" s="4"/>
      <c r="C621" s="4"/>
      <c r="D621" s="5"/>
      <c r="E621" s="4"/>
      <c r="F621" s="4"/>
      <c r="G621" s="6"/>
      <c r="H621" s="6"/>
      <c r="I621" s="6"/>
      <c r="J621" s="6"/>
    </row>
    <row r="622" spans="1:10" ht="13.5" thickBot="1">
      <c r="A622" s="4"/>
      <c r="B622" s="4"/>
      <c r="C622" s="4"/>
      <c r="D622" s="5"/>
      <c r="E622" s="4"/>
      <c r="F622" s="4"/>
      <c r="G622" s="6"/>
      <c r="H622" s="6"/>
      <c r="I622" s="6"/>
      <c r="J622" s="6"/>
    </row>
    <row r="623" spans="1:10" ht="13.5" thickBot="1">
      <c r="A623" s="4"/>
      <c r="B623" s="4"/>
      <c r="C623" s="4"/>
      <c r="D623" s="5"/>
      <c r="E623" s="4"/>
      <c r="F623" s="4"/>
      <c r="G623" s="6"/>
      <c r="H623" s="6"/>
      <c r="I623" s="6"/>
      <c r="J623" s="6"/>
    </row>
    <row r="624" spans="1:10" ht="13.5" thickBot="1">
      <c r="A624" s="4"/>
      <c r="B624" s="4"/>
      <c r="C624" s="4"/>
      <c r="D624" s="5"/>
      <c r="E624" s="4"/>
      <c r="F624" s="4"/>
      <c r="G624" s="6"/>
      <c r="H624" s="6"/>
      <c r="I624" s="6"/>
      <c r="J624" s="6"/>
    </row>
    <row r="625" spans="1:10" ht="13.5" thickBot="1">
      <c r="A625" s="4"/>
      <c r="B625" s="4"/>
      <c r="C625" s="4"/>
      <c r="D625" s="5"/>
      <c r="E625" s="4"/>
      <c r="F625" s="4"/>
      <c r="G625" s="6"/>
      <c r="H625" s="6"/>
      <c r="I625" s="6"/>
      <c r="J625" s="6"/>
    </row>
    <row r="626" spans="1:10" ht="13.5" thickBot="1">
      <c r="A626" s="4"/>
      <c r="B626" s="4"/>
      <c r="C626" s="4"/>
      <c r="D626" s="5"/>
      <c r="E626" s="4"/>
      <c r="F626" s="4"/>
      <c r="G626" s="6"/>
      <c r="H626" s="6"/>
      <c r="I626" s="6"/>
      <c r="J626" s="6"/>
    </row>
    <row r="627" spans="1:10" ht="13.5" thickBot="1">
      <c r="A627" s="4"/>
      <c r="B627" s="4"/>
      <c r="C627" s="4"/>
      <c r="D627" s="5"/>
      <c r="E627" s="4"/>
      <c r="F627" s="4"/>
      <c r="G627" s="6"/>
      <c r="H627" s="6"/>
      <c r="I627" s="6"/>
      <c r="J627" s="6"/>
    </row>
    <row r="628" spans="1:10" ht="13.5" thickBot="1">
      <c r="A628" s="4"/>
      <c r="B628" s="4"/>
      <c r="C628" s="4"/>
      <c r="D628" s="5"/>
      <c r="E628" s="4"/>
      <c r="F628" s="4"/>
      <c r="G628" s="6"/>
      <c r="H628" s="6"/>
      <c r="I628" s="6"/>
      <c r="J628" s="6"/>
    </row>
    <row r="629" spans="1:10" ht="13.5" thickBot="1">
      <c r="A629" s="4"/>
      <c r="B629" s="4"/>
      <c r="C629" s="4"/>
      <c r="D629" s="5"/>
      <c r="E629" s="4"/>
      <c r="F629" s="4"/>
      <c r="G629" s="6"/>
      <c r="H629" s="6"/>
      <c r="I629" s="6"/>
      <c r="J629" s="6"/>
    </row>
    <row r="630" spans="1:10" ht="13.5" thickBot="1">
      <c r="A630" s="4"/>
      <c r="B630" s="4"/>
      <c r="C630" s="4"/>
      <c r="D630" s="5"/>
      <c r="E630" s="4"/>
      <c r="F630" s="4"/>
      <c r="G630" s="6"/>
      <c r="H630" s="6"/>
      <c r="I630" s="6"/>
      <c r="J630" s="6"/>
    </row>
    <row r="631" spans="1:10" ht="13.5" thickBot="1">
      <c r="A631" s="4"/>
      <c r="B631" s="4"/>
      <c r="C631" s="4"/>
      <c r="D631" s="5"/>
      <c r="E631" s="4"/>
      <c r="F631" s="4"/>
      <c r="G631" s="6"/>
      <c r="H631" s="6"/>
      <c r="I631" s="6"/>
      <c r="J631" s="6"/>
    </row>
    <row r="632" spans="1:10" ht="13.5" thickBot="1">
      <c r="A632" s="4"/>
      <c r="B632" s="4"/>
      <c r="C632" s="4"/>
      <c r="D632" s="5"/>
      <c r="E632" s="4"/>
      <c r="F632" s="4"/>
      <c r="G632" s="6"/>
      <c r="H632" s="6"/>
      <c r="I632" s="6"/>
      <c r="J632" s="6"/>
    </row>
    <row r="633" spans="1:10" ht="13.5" thickBot="1">
      <c r="A633" s="4"/>
      <c r="B633" s="4"/>
      <c r="C633" s="4"/>
      <c r="D633" s="5"/>
      <c r="E633" s="4"/>
      <c r="F633" s="4"/>
      <c r="G633" s="6"/>
      <c r="H633" s="6"/>
      <c r="I633" s="6"/>
      <c r="J633" s="6"/>
    </row>
    <row r="634" spans="1:10" ht="13.5" thickBot="1">
      <c r="A634" s="4"/>
      <c r="B634" s="4"/>
      <c r="C634" s="4"/>
      <c r="D634" s="5"/>
      <c r="E634" s="4"/>
      <c r="F634" s="4"/>
      <c r="G634" s="6"/>
      <c r="H634" s="6"/>
      <c r="I634" s="6"/>
      <c r="J634" s="6"/>
    </row>
    <row r="635" spans="1:10" ht="13.5" thickBot="1">
      <c r="A635" s="4"/>
      <c r="B635" s="4"/>
      <c r="C635" s="4"/>
      <c r="D635" s="5"/>
      <c r="E635" s="4"/>
      <c r="F635" s="4"/>
      <c r="G635" s="6"/>
      <c r="H635" s="6"/>
      <c r="I635" s="6"/>
      <c r="J635" s="6"/>
    </row>
    <row r="636" spans="1:10" ht="13.5" thickBot="1">
      <c r="A636" s="4"/>
      <c r="B636" s="4"/>
      <c r="C636" s="4"/>
      <c r="D636" s="5"/>
      <c r="E636" s="4"/>
      <c r="F636" s="4"/>
      <c r="G636" s="6"/>
      <c r="H636" s="6"/>
      <c r="I636" s="6"/>
      <c r="J636" s="6"/>
    </row>
    <row r="637" spans="1:10" ht="13.5" thickBot="1">
      <c r="A637" s="4"/>
      <c r="B637" s="4"/>
      <c r="C637" s="4"/>
      <c r="D637" s="5"/>
      <c r="E637" s="4"/>
      <c r="F637" s="4"/>
      <c r="G637" s="6"/>
      <c r="H637" s="6"/>
      <c r="I637" s="6"/>
      <c r="J637" s="6"/>
    </row>
    <row r="638" spans="1:10" ht="13.5" thickBot="1">
      <c r="A638" s="4"/>
      <c r="B638" s="4"/>
      <c r="C638" s="4"/>
      <c r="D638" s="5"/>
      <c r="E638" s="4"/>
      <c r="F638" s="4"/>
      <c r="G638" s="6"/>
      <c r="H638" s="6"/>
      <c r="I638" s="6"/>
      <c r="J638" s="6"/>
    </row>
    <row r="639" spans="1:10" ht="13.5" thickBot="1">
      <c r="A639" s="4"/>
      <c r="B639" s="4"/>
      <c r="C639" s="4"/>
      <c r="D639" s="5"/>
      <c r="E639" s="4"/>
      <c r="F639" s="4"/>
      <c r="G639" s="6"/>
      <c r="H639" s="6"/>
      <c r="I639" s="6"/>
      <c r="J639" s="6"/>
    </row>
    <row r="640" spans="1:10" ht="13.5" thickBot="1">
      <c r="A640" s="4"/>
      <c r="B640" s="4"/>
      <c r="C640" s="4"/>
      <c r="D640" s="5"/>
      <c r="E640" s="4"/>
      <c r="F640" s="4"/>
      <c r="G640" s="6"/>
      <c r="H640" s="6"/>
      <c r="I640" s="6"/>
      <c r="J640" s="6"/>
    </row>
    <row r="641" spans="1:10" ht="13.5" thickBot="1">
      <c r="A641" s="4"/>
      <c r="B641" s="4"/>
      <c r="C641" s="4"/>
      <c r="D641" s="5"/>
      <c r="E641" s="4"/>
      <c r="F641" s="4"/>
      <c r="G641" s="6"/>
      <c r="H641" s="6"/>
      <c r="I641" s="6"/>
      <c r="J641" s="6"/>
    </row>
    <row r="642" spans="1:10" ht="13.5" thickBot="1">
      <c r="A642" s="4"/>
      <c r="B642" s="4"/>
      <c r="C642" s="4"/>
      <c r="D642" s="5"/>
      <c r="E642" s="4"/>
      <c r="F642" s="4"/>
      <c r="G642" s="6"/>
      <c r="H642" s="6"/>
      <c r="I642" s="6"/>
      <c r="J642" s="6"/>
    </row>
    <row r="643" spans="1:10" ht="13.5" thickBot="1">
      <c r="A643" s="4"/>
      <c r="B643" s="4"/>
      <c r="C643" s="4"/>
      <c r="D643" s="5"/>
      <c r="E643" s="4"/>
      <c r="F643" s="4"/>
      <c r="G643" s="6"/>
      <c r="H643" s="6"/>
      <c r="I643" s="6"/>
      <c r="J643" s="6"/>
    </row>
    <row r="644" spans="1:10" ht="13.5" thickBot="1">
      <c r="A644" s="4"/>
      <c r="B644" s="4"/>
      <c r="C644" s="4"/>
      <c r="D644" s="5"/>
      <c r="E644" s="4"/>
      <c r="F644" s="4"/>
      <c r="G644" s="6"/>
      <c r="H644" s="6"/>
      <c r="I644" s="6"/>
      <c r="J644" s="6"/>
    </row>
    <row r="645" spans="1:10" ht="13.5" thickBot="1">
      <c r="A645" s="4"/>
      <c r="B645" s="4"/>
      <c r="C645" s="4"/>
      <c r="D645" s="5"/>
      <c r="E645" s="4"/>
      <c r="F645" s="4"/>
      <c r="G645" s="6"/>
      <c r="H645" s="6"/>
      <c r="I645" s="6"/>
      <c r="J645" s="6"/>
    </row>
    <row r="646" spans="1:10" ht="13.5" thickBot="1">
      <c r="A646" s="4"/>
      <c r="B646" s="4"/>
      <c r="C646" s="4"/>
      <c r="D646" s="5"/>
      <c r="E646" s="4"/>
      <c r="F646" s="4"/>
      <c r="G646" s="6"/>
      <c r="H646" s="6"/>
      <c r="I646" s="6"/>
      <c r="J646" s="6"/>
    </row>
    <row r="647" spans="1:10" ht="13.5" thickBot="1">
      <c r="A647" s="4"/>
      <c r="B647" s="4"/>
      <c r="C647" s="4"/>
      <c r="D647" s="5"/>
      <c r="E647" s="4"/>
      <c r="F647" s="4"/>
      <c r="G647" s="6"/>
      <c r="H647" s="6"/>
      <c r="I647" s="6"/>
      <c r="J647" s="6"/>
    </row>
    <row r="648" spans="1:10" ht="13.5" thickBot="1">
      <c r="A648" s="4"/>
      <c r="B648" s="4"/>
      <c r="C648" s="4"/>
      <c r="D648" s="5"/>
      <c r="E648" s="4"/>
      <c r="F648" s="4"/>
      <c r="G648" s="6"/>
      <c r="H648" s="6"/>
      <c r="I648" s="6"/>
      <c r="J648" s="6"/>
    </row>
    <row r="649" spans="1:10" ht="13.5" thickBot="1">
      <c r="A649" s="4"/>
      <c r="B649" s="4"/>
      <c r="C649" s="4"/>
      <c r="D649" s="5"/>
      <c r="E649" s="4"/>
      <c r="F649" s="4"/>
      <c r="G649" s="6"/>
      <c r="H649" s="6"/>
      <c r="I649" s="6"/>
      <c r="J649" s="6"/>
    </row>
    <row r="650" spans="1:10" ht="13.5" thickBot="1">
      <c r="A650" s="4"/>
      <c r="B650" s="4"/>
      <c r="C650" s="4"/>
      <c r="D650" s="5"/>
      <c r="E650" s="4"/>
      <c r="F650" s="4"/>
      <c r="G650" s="6"/>
      <c r="H650" s="6"/>
      <c r="I650" s="6"/>
      <c r="J650" s="6"/>
    </row>
    <row r="651" spans="1:10" ht="13.5" thickBot="1">
      <c r="A651" s="4"/>
      <c r="B651" s="4"/>
      <c r="C651" s="4"/>
      <c r="D651" s="5"/>
      <c r="E651" s="4"/>
      <c r="F651" s="4"/>
      <c r="G651" s="6"/>
      <c r="H651" s="6"/>
      <c r="I651" s="6"/>
      <c r="J651" s="6"/>
    </row>
    <row r="652" spans="1:10" ht="13.5" thickBot="1">
      <c r="A652" s="4"/>
      <c r="B652" s="4"/>
      <c r="C652" s="4"/>
      <c r="D652" s="5"/>
      <c r="E652" s="4"/>
      <c r="F652" s="4"/>
      <c r="G652" s="6"/>
      <c r="H652" s="6"/>
      <c r="I652" s="6"/>
      <c r="J652" s="6"/>
    </row>
    <row r="653" spans="1:10" ht="13.5" thickBot="1">
      <c r="A653" s="4"/>
      <c r="B653" s="4"/>
      <c r="C653" s="4"/>
      <c r="D653" s="5"/>
      <c r="E653" s="4"/>
      <c r="F653" s="4"/>
      <c r="G653" s="6"/>
      <c r="H653" s="6"/>
      <c r="I653" s="6"/>
      <c r="J653" s="6"/>
    </row>
    <row r="654" spans="1:10" ht="13.5" thickBot="1">
      <c r="A654" s="4"/>
      <c r="B654" s="4"/>
      <c r="C654" s="4"/>
      <c r="D654" s="5"/>
      <c r="E654" s="4"/>
      <c r="F654" s="4"/>
      <c r="G654" s="6"/>
      <c r="H654" s="6"/>
      <c r="I654" s="6"/>
      <c r="J654" s="6"/>
    </row>
    <row r="655" spans="1:10" ht="13.5" thickBot="1">
      <c r="A655" s="4"/>
      <c r="B655" s="4"/>
      <c r="C655" s="4"/>
      <c r="D655" s="5"/>
      <c r="E655" s="4"/>
      <c r="F655" s="4"/>
      <c r="G655" s="6"/>
      <c r="H655" s="6"/>
      <c r="I655" s="6"/>
      <c r="J655" s="6"/>
    </row>
    <row r="656" spans="1:10" ht="13.5" thickBot="1">
      <c r="A656" s="4"/>
      <c r="B656" s="4"/>
      <c r="C656" s="4"/>
      <c r="D656" s="5"/>
      <c r="E656" s="4"/>
      <c r="F656" s="4"/>
      <c r="G656" s="6"/>
      <c r="H656" s="6"/>
      <c r="I656" s="6"/>
      <c r="J656" s="6"/>
    </row>
    <row r="657" spans="1:10" ht="13.5" thickBot="1">
      <c r="A657" s="4"/>
      <c r="B657" s="4"/>
      <c r="C657" s="4"/>
      <c r="D657" s="5"/>
      <c r="E657" s="4"/>
      <c r="F657" s="4"/>
      <c r="G657" s="6"/>
      <c r="H657" s="6"/>
      <c r="I657" s="6"/>
      <c r="J657" s="6"/>
    </row>
    <row r="658" spans="1:10" ht="13.5" thickBot="1">
      <c r="A658" s="4"/>
      <c r="B658" s="4"/>
      <c r="C658" s="4"/>
      <c r="D658" s="5"/>
      <c r="E658" s="4"/>
      <c r="F658" s="4"/>
      <c r="G658" s="6"/>
      <c r="H658" s="6"/>
      <c r="I658" s="6"/>
      <c r="J658" s="6"/>
    </row>
    <row r="659" spans="1:10" ht="13.5" thickBot="1">
      <c r="A659" s="4"/>
      <c r="B659" s="4"/>
      <c r="C659" s="4"/>
      <c r="D659" s="5"/>
      <c r="E659" s="4"/>
      <c r="F659" s="4"/>
      <c r="G659" s="6"/>
      <c r="H659" s="6"/>
      <c r="I659" s="6"/>
      <c r="J659" s="6"/>
    </row>
    <row r="660" spans="1:10" ht="13.5" thickBot="1">
      <c r="A660" s="4"/>
      <c r="B660" s="4"/>
      <c r="C660" s="4"/>
      <c r="D660" s="5"/>
      <c r="E660" s="4"/>
      <c r="F660" s="4"/>
      <c r="G660" s="6"/>
      <c r="H660" s="6"/>
      <c r="I660" s="6"/>
      <c r="J660" s="6"/>
    </row>
    <row r="661" spans="1:10" ht="13.5" thickBot="1">
      <c r="A661" s="4"/>
      <c r="B661" s="4"/>
      <c r="C661" s="4"/>
      <c r="D661" s="5"/>
      <c r="E661" s="4"/>
      <c r="F661" s="4"/>
      <c r="G661" s="6"/>
      <c r="H661" s="6"/>
      <c r="I661" s="6"/>
      <c r="J661" s="6"/>
    </row>
    <row r="662" spans="1:10" ht="13.5" thickBot="1">
      <c r="A662" s="4"/>
      <c r="B662" s="4"/>
      <c r="C662" s="4"/>
      <c r="D662" s="5"/>
      <c r="E662" s="4"/>
      <c r="F662" s="4"/>
      <c r="G662" s="6"/>
      <c r="H662" s="6"/>
      <c r="I662" s="6"/>
      <c r="J662" s="6"/>
    </row>
    <row r="663" spans="1:10" ht="13.5" thickBot="1">
      <c r="A663" s="4"/>
      <c r="B663" s="4"/>
      <c r="C663" s="4"/>
      <c r="D663" s="5"/>
      <c r="E663" s="4"/>
      <c r="F663" s="4"/>
      <c r="G663" s="6"/>
      <c r="H663" s="6"/>
      <c r="I663" s="6"/>
      <c r="J663" s="6"/>
    </row>
    <row r="664" spans="1:10" ht="13.5" thickBot="1">
      <c r="A664" s="4"/>
      <c r="B664" s="4"/>
      <c r="C664" s="4"/>
      <c r="D664" s="5"/>
      <c r="E664" s="4"/>
      <c r="F664" s="4"/>
      <c r="G664" s="6"/>
      <c r="H664" s="6"/>
      <c r="I664" s="6"/>
      <c r="J664" s="6"/>
    </row>
    <row r="665" spans="1:10" ht="13.5" thickBot="1">
      <c r="A665" s="4"/>
      <c r="B665" s="4"/>
      <c r="C665" s="4"/>
      <c r="D665" s="5"/>
      <c r="E665" s="4"/>
      <c r="F665" s="4"/>
      <c r="G665" s="6"/>
      <c r="H665" s="6"/>
      <c r="I665" s="6"/>
      <c r="J665" s="6"/>
    </row>
    <row r="666" spans="1:10" ht="13.5" thickBot="1">
      <c r="A666" s="4"/>
      <c r="B666" s="4"/>
      <c r="C666" s="4"/>
      <c r="D666" s="5"/>
      <c r="E666" s="4"/>
      <c r="F666" s="4"/>
      <c r="G666" s="6"/>
      <c r="H666" s="6"/>
      <c r="I666" s="6"/>
      <c r="J666" s="6"/>
    </row>
    <row r="667" spans="1:10" ht="13.5" thickBot="1">
      <c r="A667" s="4"/>
      <c r="B667" s="4"/>
      <c r="C667" s="4"/>
      <c r="D667" s="5"/>
      <c r="E667" s="4"/>
      <c r="F667" s="4"/>
      <c r="G667" s="6"/>
      <c r="H667" s="6"/>
      <c r="I667" s="6"/>
      <c r="J667" s="6"/>
    </row>
    <row r="668" spans="1:10" ht="13.5" thickBot="1">
      <c r="A668" s="4"/>
      <c r="B668" s="4"/>
      <c r="C668" s="4"/>
      <c r="D668" s="5"/>
      <c r="E668" s="4"/>
      <c r="F668" s="4"/>
      <c r="G668" s="6"/>
      <c r="H668" s="6"/>
      <c r="I668" s="6"/>
      <c r="J668" s="6"/>
    </row>
    <row r="669" spans="1:10" ht="13.5" thickBot="1">
      <c r="A669" s="4"/>
      <c r="B669" s="4"/>
      <c r="C669" s="4"/>
      <c r="D669" s="5"/>
      <c r="E669" s="4"/>
      <c r="F669" s="4"/>
      <c r="G669" s="6"/>
      <c r="H669" s="6"/>
      <c r="I669" s="6"/>
      <c r="J669" s="6"/>
    </row>
    <row r="670" spans="1:10" ht="13.5" thickBot="1">
      <c r="A670" s="4"/>
      <c r="B670" s="4"/>
      <c r="C670" s="4"/>
      <c r="D670" s="5"/>
      <c r="E670" s="4"/>
      <c r="F670" s="4"/>
      <c r="G670" s="6"/>
      <c r="H670" s="6"/>
      <c r="I670" s="6"/>
      <c r="J670" s="6"/>
    </row>
    <row r="671" spans="1:10" ht="13.5" thickBot="1">
      <c r="A671" s="4"/>
      <c r="B671" s="4"/>
      <c r="C671" s="4"/>
      <c r="D671" s="5"/>
      <c r="E671" s="4"/>
      <c r="F671" s="4"/>
      <c r="G671" s="6"/>
      <c r="H671" s="6"/>
      <c r="I671" s="6"/>
      <c r="J671" s="6"/>
    </row>
    <row r="672" spans="1:10" ht="13.5" thickBot="1">
      <c r="A672" s="4"/>
      <c r="B672" s="4"/>
      <c r="C672" s="4"/>
      <c r="D672" s="5"/>
      <c r="E672" s="4"/>
      <c r="F672" s="4"/>
      <c r="G672" s="6"/>
      <c r="H672" s="6"/>
      <c r="I672" s="6"/>
      <c r="J672" s="6"/>
    </row>
    <row r="673" spans="1:10" ht="13.5" thickBot="1">
      <c r="A673" s="4"/>
      <c r="B673" s="4"/>
      <c r="C673" s="4"/>
      <c r="D673" s="5"/>
      <c r="E673" s="4"/>
      <c r="F673" s="4"/>
      <c r="G673" s="6"/>
      <c r="H673" s="6"/>
      <c r="I673" s="6"/>
      <c r="J673" s="6"/>
    </row>
    <row r="674" spans="1:10" ht="13.5" thickBot="1">
      <c r="A674" s="4"/>
      <c r="B674" s="4"/>
      <c r="C674" s="4"/>
      <c r="D674" s="5"/>
      <c r="E674" s="4"/>
      <c r="F674" s="4"/>
      <c r="G674" s="6"/>
      <c r="H674" s="6"/>
      <c r="I674" s="6"/>
      <c r="J674" s="6"/>
    </row>
    <row r="675" spans="1:10" ht="13.5" thickBot="1">
      <c r="A675" s="4"/>
      <c r="B675" s="4"/>
      <c r="C675" s="4"/>
      <c r="D675" s="5"/>
      <c r="E675" s="4"/>
      <c r="F675" s="4"/>
      <c r="G675" s="6"/>
      <c r="H675" s="6"/>
      <c r="I675" s="6"/>
      <c r="J675" s="6"/>
    </row>
    <row r="676" spans="1:10" ht="13.5" thickBot="1">
      <c r="A676" s="4"/>
      <c r="B676" s="4"/>
      <c r="C676" s="4"/>
      <c r="D676" s="5"/>
      <c r="E676" s="4"/>
      <c r="F676" s="4"/>
      <c r="G676" s="6"/>
      <c r="H676" s="6"/>
      <c r="I676" s="6"/>
      <c r="J676" s="6"/>
    </row>
    <row r="677" spans="1:10" ht="13.5" thickBot="1">
      <c r="A677" s="4"/>
      <c r="B677" s="4"/>
      <c r="C677" s="4"/>
      <c r="D677" s="5"/>
      <c r="E677" s="4"/>
      <c r="F677" s="4"/>
      <c r="G677" s="6"/>
      <c r="H677" s="6"/>
      <c r="I677" s="6"/>
      <c r="J677" s="6"/>
    </row>
    <row r="678" spans="1:10" ht="13.5" thickBot="1">
      <c r="A678" s="4"/>
      <c r="B678" s="4"/>
      <c r="C678" s="4"/>
      <c r="D678" s="5"/>
      <c r="E678" s="4"/>
      <c r="F678" s="4"/>
      <c r="G678" s="6"/>
      <c r="H678" s="6"/>
      <c r="I678" s="6"/>
      <c r="J678" s="6"/>
    </row>
    <row r="679" spans="1:10" ht="13.5" thickBot="1">
      <c r="A679" s="4"/>
      <c r="B679" s="4"/>
      <c r="C679" s="4"/>
      <c r="D679" s="5"/>
      <c r="E679" s="4"/>
      <c r="F679" s="4"/>
      <c r="G679" s="6"/>
      <c r="H679" s="6"/>
      <c r="I679" s="6"/>
      <c r="J679" s="6"/>
    </row>
    <row r="680" spans="1:10" ht="13.5" thickBot="1">
      <c r="A680" s="4"/>
      <c r="B680" s="4"/>
      <c r="C680" s="4"/>
      <c r="D680" s="5"/>
      <c r="E680" s="4"/>
      <c r="F680" s="4"/>
      <c r="G680" s="6"/>
      <c r="H680" s="6"/>
      <c r="I680" s="6"/>
      <c r="J680" s="6"/>
    </row>
    <row r="681" spans="1:10" ht="13.5" thickBot="1">
      <c r="A681" s="4"/>
      <c r="B681" s="4"/>
      <c r="C681" s="4"/>
      <c r="D681" s="5"/>
      <c r="E681" s="4"/>
      <c r="F681" s="4"/>
      <c r="G681" s="6"/>
      <c r="H681" s="6"/>
      <c r="I681" s="6"/>
      <c r="J681" s="6"/>
    </row>
    <row r="682" spans="1:10" ht="13.5" thickBot="1">
      <c r="A682" s="4"/>
      <c r="B682" s="4"/>
      <c r="C682" s="4"/>
      <c r="D682" s="5"/>
      <c r="E682" s="4"/>
      <c r="F682" s="4"/>
      <c r="G682" s="6"/>
      <c r="H682" s="6"/>
      <c r="I682" s="6"/>
      <c r="J682" s="6"/>
    </row>
    <row r="683" spans="1:10" ht="13.5" thickBot="1">
      <c r="A683" s="4"/>
      <c r="B683" s="4"/>
      <c r="C683" s="4"/>
      <c r="D683" s="5"/>
      <c r="E683" s="4"/>
      <c r="F683" s="4"/>
      <c r="G683" s="6"/>
      <c r="H683" s="6"/>
      <c r="I683" s="6"/>
      <c r="J683" s="6"/>
    </row>
    <row r="684" spans="1:10" ht="13.5" thickBot="1">
      <c r="A684" s="4"/>
      <c r="B684" s="4"/>
      <c r="C684" s="4"/>
      <c r="D684" s="5"/>
      <c r="E684" s="4"/>
      <c r="F684" s="4"/>
      <c r="G684" s="6"/>
      <c r="H684" s="6"/>
      <c r="I684" s="6"/>
      <c r="J684" s="6"/>
    </row>
    <row r="685" spans="1:10" ht="13.5" thickBot="1">
      <c r="A685" s="4"/>
      <c r="B685" s="4"/>
      <c r="C685" s="4"/>
      <c r="D685" s="5"/>
      <c r="E685" s="4"/>
      <c r="F685" s="4"/>
      <c r="G685" s="6"/>
      <c r="H685" s="6"/>
      <c r="I685" s="6"/>
      <c r="J685" s="6"/>
    </row>
    <row r="686" spans="1:10" ht="13.5" thickBot="1">
      <c r="A686" s="4"/>
      <c r="B686" s="4"/>
      <c r="C686" s="4"/>
      <c r="D686" s="5"/>
      <c r="E686" s="4"/>
      <c r="F686" s="4"/>
      <c r="G686" s="6"/>
      <c r="H686" s="6"/>
      <c r="I686" s="6"/>
      <c r="J686" s="6"/>
    </row>
    <row r="687" spans="1:10" ht="13.5" thickBot="1">
      <c r="A687" s="4"/>
      <c r="B687" s="4"/>
      <c r="C687" s="4"/>
      <c r="D687" s="5"/>
      <c r="E687" s="4"/>
      <c r="F687" s="4"/>
      <c r="G687" s="6"/>
      <c r="H687" s="6"/>
      <c r="I687" s="6"/>
      <c r="J687" s="6"/>
    </row>
    <row r="688" spans="1:10" ht="13.5" thickBot="1">
      <c r="A688" s="4"/>
      <c r="B688" s="4"/>
      <c r="C688" s="4"/>
      <c r="D688" s="5"/>
      <c r="E688" s="4"/>
      <c r="F688" s="4"/>
      <c r="G688" s="6"/>
      <c r="H688" s="6"/>
      <c r="I688" s="6"/>
      <c r="J688" s="6"/>
    </row>
    <row r="689" spans="1:10" ht="13.5" thickBot="1">
      <c r="A689" s="4"/>
      <c r="B689" s="4"/>
      <c r="C689" s="4"/>
      <c r="D689" s="5"/>
      <c r="E689" s="4"/>
      <c r="F689" s="4"/>
      <c r="G689" s="6"/>
      <c r="H689" s="6"/>
      <c r="I689" s="6"/>
      <c r="J689" s="6"/>
    </row>
    <row r="690" spans="1:10" ht="13.5" thickBot="1">
      <c r="A690" s="4"/>
      <c r="B690" s="4"/>
      <c r="C690" s="4"/>
      <c r="D690" s="5"/>
      <c r="E690" s="4"/>
      <c r="F690" s="4"/>
      <c r="G690" s="6"/>
      <c r="H690" s="6"/>
      <c r="I690" s="6"/>
      <c r="J690" s="6"/>
    </row>
    <row r="691" spans="1:10" ht="13.5" thickBot="1">
      <c r="A691" s="4"/>
      <c r="B691" s="4"/>
      <c r="C691" s="4"/>
      <c r="D691" s="5"/>
      <c r="E691" s="4"/>
      <c r="F691" s="4"/>
      <c r="G691" s="6"/>
      <c r="H691" s="6"/>
      <c r="I691" s="6"/>
      <c r="J691" s="6"/>
    </row>
    <row r="692" spans="1:10" ht="13.5" thickBot="1">
      <c r="A692" s="4"/>
      <c r="B692" s="4"/>
      <c r="C692" s="4"/>
      <c r="D692" s="5"/>
      <c r="E692" s="4"/>
      <c r="F692" s="4"/>
      <c r="G692" s="6"/>
      <c r="H692" s="6"/>
      <c r="I692" s="6"/>
      <c r="J692" s="6"/>
    </row>
    <row r="693" spans="1:10" ht="13.5" thickBot="1">
      <c r="A693" s="4"/>
      <c r="B693" s="4"/>
      <c r="C693" s="4"/>
      <c r="D693" s="5"/>
      <c r="E693" s="4"/>
      <c r="F693" s="4"/>
      <c r="G693" s="6"/>
      <c r="H693" s="6"/>
      <c r="I693" s="6"/>
      <c r="J693" s="6"/>
    </row>
    <row r="694" spans="1:10" ht="13.5" thickBot="1">
      <c r="A694" s="4"/>
      <c r="B694" s="4"/>
      <c r="C694" s="4"/>
      <c r="D694" s="5"/>
      <c r="E694" s="4"/>
      <c r="F694" s="4"/>
      <c r="G694" s="6"/>
      <c r="H694" s="6"/>
      <c r="I694" s="6"/>
      <c r="J694" s="6"/>
    </row>
    <row r="695" spans="1:10" ht="13.5" thickBot="1">
      <c r="A695" s="4"/>
      <c r="B695" s="4"/>
      <c r="C695" s="4"/>
      <c r="D695" s="5"/>
      <c r="E695" s="4"/>
      <c r="F695" s="4"/>
      <c r="G695" s="6"/>
      <c r="H695" s="6"/>
      <c r="I695" s="6"/>
      <c r="J695" s="6"/>
    </row>
    <row r="696" spans="1:10" ht="13.5" thickBot="1">
      <c r="A696" s="4"/>
      <c r="B696" s="4"/>
      <c r="C696" s="4"/>
      <c r="D696" s="5"/>
      <c r="E696" s="4"/>
      <c r="F696" s="4"/>
      <c r="G696" s="6"/>
      <c r="H696" s="6"/>
      <c r="I696" s="6"/>
      <c r="J696" s="6"/>
    </row>
    <row r="697" spans="1:10" ht="13.5" thickBot="1">
      <c r="A697" s="4"/>
      <c r="B697" s="4"/>
      <c r="C697" s="4"/>
      <c r="D697" s="5"/>
      <c r="E697" s="4"/>
      <c r="F697" s="4"/>
      <c r="G697" s="6"/>
      <c r="H697" s="6"/>
      <c r="I697" s="6"/>
      <c r="J697" s="6"/>
    </row>
    <row r="698" spans="1:10" ht="13.5" thickBot="1">
      <c r="A698" s="4"/>
      <c r="B698" s="4"/>
      <c r="C698" s="4"/>
      <c r="D698" s="5"/>
      <c r="E698" s="4"/>
      <c r="F698" s="4"/>
      <c r="G698" s="6"/>
      <c r="H698" s="6"/>
      <c r="I698" s="6"/>
      <c r="J698" s="6"/>
    </row>
    <row r="699" spans="1:10" ht="13.5" thickBot="1">
      <c r="A699" s="4"/>
      <c r="B699" s="4"/>
      <c r="C699" s="4"/>
      <c r="D699" s="5"/>
      <c r="E699" s="4"/>
      <c r="F699" s="4"/>
      <c r="G699" s="6"/>
      <c r="H699" s="6"/>
      <c r="I699" s="6"/>
      <c r="J699" s="6"/>
    </row>
    <row r="700" spans="1:10" ht="13.5" thickBot="1">
      <c r="A700" s="4"/>
      <c r="B700" s="4"/>
      <c r="C700" s="4"/>
      <c r="D700" s="5"/>
      <c r="E700" s="4"/>
      <c r="F700" s="4"/>
      <c r="G700" s="6"/>
      <c r="H700" s="6"/>
      <c r="I700" s="6"/>
      <c r="J700" s="6"/>
    </row>
    <row r="701" spans="1:10" ht="13.5" thickBot="1">
      <c r="A701" s="4"/>
      <c r="B701" s="4"/>
      <c r="C701" s="4"/>
      <c r="D701" s="5"/>
      <c r="E701" s="4"/>
      <c r="F701" s="4"/>
      <c r="G701" s="6"/>
      <c r="H701" s="6"/>
      <c r="I701" s="6"/>
      <c r="J701" s="6"/>
    </row>
    <row r="702" spans="1:10" ht="13.5" thickBot="1">
      <c r="A702" s="4"/>
      <c r="B702" s="4"/>
      <c r="C702" s="4"/>
      <c r="D702" s="5"/>
      <c r="E702" s="4"/>
      <c r="F702" s="4"/>
      <c r="G702" s="6"/>
      <c r="H702" s="6"/>
      <c r="I702" s="6"/>
      <c r="J702" s="6"/>
    </row>
    <row r="703" spans="1:10" ht="13.5" thickBot="1">
      <c r="A703" s="4"/>
      <c r="B703" s="4"/>
      <c r="C703" s="4"/>
      <c r="D703" s="5"/>
      <c r="E703" s="4"/>
      <c r="F703" s="4"/>
      <c r="G703" s="6"/>
      <c r="H703" s="6"/>
      <c r="I703" s="6"/>
      <c r="J703" s="6"/>
    </row>
    <row r="704" spans="1:10" ht="13.5" thickBot="1">
      <c r="A704" s="4"/>
      <c r="B704" s="4"/>
      <c r="C704" s="4"/>
      <c r="D704" s="5"/>
      <c r="E704" s="4"/>
      <c r="F704" s="4"/>
      <c r="G704" s="6"/>
      <c r="H704" s="6"/>
      <c r="I704" s="6"/>
      <c r="J704" s="6"/>
    </row>
    <row r="705" spans="1:10" ht="13.5" thickBot="1">
      <c r="A705" s="4"/>
      <c r="B705" s="4"/>
      <c r="C705" s="4"/>
      <c r="D705" s="5"/>
      <c r="E705" s="4"/>
      <c r="F705" s="4"/>
      <c r="G705" s="6"/>
      <c r="H705" s="6"/>
      <c r="I705" s="6"/>
      <c r="J705" s="6"/>
    </row>
    <row r="706" spans="1:10" ht="13.5" thickBot="1">
      <c r="A706" s="4"/>
      <c r="B706" s="4"/>
      <c r="C706" s="4"/>
      <c r="D706" s="5"/>
      <c r="E706" s="4"/>
      <c r="F706" s="4"/>
      <c r="G706" s="6"/>
      <c r="H706" s="6"/>
      <c r="I706" s="6"/>
      <c r="J706" s="6"/>
    </row>
    <row r="707" spans="1:10" ht="13.5" thickBot="1">
      <c r="A707" s="4"/>
      <c r="B707" s="4"/>
      <c r="C707" s="4"/>
      <c r="D707" s="5"/>
      <c r="E707" s="4"/>
      <c r="F707" s="4"/>
      <c r="G707" s="6"/>
      <c r="H707" s="6"/>
      <c r="I707" s="6"/>
      <c r="J707" s="6"/>
    </row>
    <row r="708" spans="1:10" ht="13.5" thickBot="1">
      <c r="A708" s="4"/>
      <c r="B708" s="4"/>
      <c r="C708" s="4"/>
      <c r="D708" s="5"/>
      <c r="E708" s="4"/>
      <c r="F708" s="4"/>
      <c r="G708" s="6"/>
      <c r="H708" s="6"/>
      <c r="I708" s="6"/>
      <c r="J708" s="6"/>
    </row>
    <row r="709" spans="1:10" ht="13.5" thickBot="1">
      <c r="A709" s="4"/>
      <c r="B709" s="4"/>
      <c r="C709" s="4"/>
      <c r="D709" s="5"/>
      <c r="E709" s="4"/>
      <c r="F709" s="4"/>
      <c r="G709" s="6"/>
      <c r="H709" s="6"/>
      <c r="I709" s="6"/>
      <c r="J709" s="6"/>
    </row>
    <row r="710" spans="1:10" ht="13.5" thickBot="1">
      <c r="A710" s="4"/>
      <c r="B710" s="4"/>
      <c r="C710" s="4"/>
      <c r="D710" s="5"/>
      <c r="E710" s="4"/>
      <c r="F710" s="4"/>
      <c r="G710" s="6"/>
      <c r="H710" s="6"/>
      <c r="I710" s="6"/>
      <c r="J710" s="6"/>
    </row>
    <row r="711" spans="1:10" ht="13.5" thickBot="1">
      <c r="A711" s="4"/>
      <c r="B711" s="4"/>
      <c r="C711" s="4"/>
      <c r="D711" s="5"/>
      <c r="E711" s="4"/>
      <c r="F711" s="4"/>
      <c r="G711" s="6"/>
      <c r="H711" s="6"/>
      <c r="I711" s="6"/>
      <c r="J711" s="6"/>
    </row>
    <row r="712" spans="1:10" ht="13.5" thickBot="1">
      <c r="A712" s="4"/>
      <c r="B712" s="4"/>
      <c r="C712" s="4"/>
      <c r="D712" s="5"/>
      <c r="E712" s="4"/>
      <c r="F712" s="4"/>
      <c r="G712" s="6"/>
      <c r="H712" s="6"/>
      <c r="I712" s="6"/>
      <c r="J712" s="6"/>
    </row>
    <row r="713" spans="1:10" ht="13.5" thickBot="1">
      <c r="A713" s="4"/>
      <c r="B713" s="4"/>
      <c r="C713" s="4"/>
      <c r="D713" s="5"/>
      <c r="E713" s="4"/>
      <c r="F713" s="4"/>
      <c r="G713" s="6"/>
      <c r="H713" s="6"/>
      <c r="I713" s="6"/>
      <c r="J713" s="6"/>
    </row>
    <row r="714" spans="1:10" ht="13.5" thickBot="1">
      <c r="A714" s="4"/>
      <c r="B714" s="4"/>
      <c r="C714" s="4"/>
      <c r="D714" s="5"/>
      <c r="E714" s="4"/>
      <c r="F714" s="4"/>
      <c r="G714" s="6"/>
      <c r="H714" s="6"/>
      <c r="I714" s="6"/>
      <c r="J714" s="6"/>
    </row>
    <row r="715" spans="1:10" ht="13.5" thickBot="1">
      <c r="A715" s="4"/>
      <c r="B715" s="4"/>
      <c r="C715" s="4"/>
      <c r="D715" s="5"/>
      <c r="E715" s="4"/>
      <c r="F715" s="4"/>
      <c r="G715" s="6"/>
      <c r="H715" s="6"/>
      <c r="I715" s="6"/>
      <c r="J715" s="6"/>
    </row>
    <row r="716" spans="1:10" ht="13.5" thickBot="1">
      <c r="A716" s="4"/>
      <c r="B716" s="4"/>
      <c r="C716" s="4"/>
      <c r="D716" s="5"/>
      <c r="E716" s="4"/>
      <c r="F716" s="4"/>
      <c r="G716" s="6"/>
      <c r="H716" s="6"/>
      <c r="I716" s="6"/>
      <c r="J716" s="6"/>
    </row>
    <row r="717" spans="1:10" ht="13.5" thickBot="1">
      <c r="A717" s="4"/>
      <c r="B717" s="4"/>
      <c r="C717" s="4"/>
      <c r="D717" s="5"/>
      <c r="E717" s="4"/>
      <c r="F717" s="4"/>
      <c r="G717" s="6"/>
      <c r="H717" s="6"/>
      <c r="I717" s="6"/>
      <c r="J717" s="6"/>
    </row>
    <row r="718" spans="1:10" ht="13.5" thickBot="1">
      <c r="A718" s="4"/>
      <c r="B718" s="4"/>
      <c r="C718" s="4"/>
      <c r="D718" s="5"/>
      <c r="E718" s="4"/>
      <c r="F718" s="4"/>
      <c r="G718" s="6"/>
      <c r="H718" s="6"/>
      <c r="I718" s="6"/>
      <c r="J718" s="6"/>
    </row>
    <row r="719" spans="1:10" ht="13.5" thickBot="1">
      <c r="A719" s="4"/>
      <c r="B719" s="4"/>
      <c r="C719" s="4"/>
      <c r="D719" s="5"/>
      <c r="E719" s="4"/>
      <c r="F719" s="4"/>
      <c r="G719" s="6"/>
      <c r="H719" s="6"/>
      <c r="I719" s="6"/>
      <c r="J719" s="6"/>
    </row>
    <row r="720" spans="1:10" ht="13.5" thickBot="1">
      <c r="A720" s="4"/>
      <c r="B720" s="4"/>
      <c r="C720" s="4"/>
      <c r="D720" s="5"/>
      <c r="E720" s="4"/>
      <c r="F720" s="4"/>
      <c r="G720" s="6"/>
      <c r="H720" s="6"/>
      <c r="I720" s="6"/>
      <c r="J720" s="6"/>
    </row>
    <row r="721" spans="1:10" ht="13.5" thickBot="1">
      <c r="A721" s="4"/>
      <c r="B721" s="4"/>
      <c r="C721" s="4"/>
      <c r="D721" s="5"/>
      <c r="E721" s="4"/>
      <c r="F721" s="4"/>
      <c r="G721" s="6"/>
      <c r="H721" s="6"/>
      <c r="I721" s="6"/>
      <c r="J721" s="6"/>
    </row>
    <row r="722" spans="1:10" ht="13.5" thickBot="1">
      <c r="A722" s="4"/>
      <c r="B722" s="4"/>
      <c r="C722" s="4"/>
      <c r="D722" s="5"/>
      <c r="E722" s="4"/>
      <c r="F722" s="4"/>
      <c r="G722" s="6"/>
      <c r="H722" s="6"/>
      <c r="I722" s="6"/>
      <c r="J722" s="6"/>
    </row>
    <row r="723" spans="1:10" ht="13.5" thickBot="1">
      <c r="A723" s="4"/>
      <c r="B723" s="4"/>
      <c r="C723" s="4"/>
      <c r="D723" s="5"/>
      <c r="E723" s="4"/>
      <c r="F723" s="4"/>
      <c r="G723" s="6"/>
      <c r="H723" s="6"/>
      <c r="I723" s="6"/>
      <c r="J723" s="6"/>
    </row>
    <row r="724" spans="1:10" ht="13.5" thickBot="1">
      <c r="A724" s="4"/>
      <c r="B724" s="4"/>
      <c r="C724" s="4"/>
      <c r="D724" s="5"/>
      <c r="E724" s="4"/>
      <c r="F724" s="4"/>
      <c r="G724" s="6"/>
      <c r="H724" s="6"/>
      <c r="I724" s="6"/>
      <c r="J724" s="6"/>
    </row>
    <row r="725" spans="1:10" ht="13.5" thickBot="1">
      <c r="A725" s="4"/>
      <c r="B725" s="4"/>
      <c r="C725" s="4"/>
      <c r="D725" s="5"/>
      <c r="E725" s="4"/>
      <c r="F725" s="4"/>
      <c r="G725" s="6"/>
      <c r="H725" s="6"/>
      <c r="I725" s="6"/>
      <c r="J725" s="6"/>
    </row>
    <row r="726" spans="1:10" ht="13.5" thickBot="1">
      <c r="A726" s="4"/>
      <c r="B726" s="4"/>
      <c r="C726" s="4"/>
      <c r="D726" s="5"/>
      <c r="E726" s="4"/>
      <c r="F726" s="4"/>
      <c r="G726" s="6"/>
      <c r="H726" s="6"/>
      <c r="I726" s="6"/>
      <c r="J726" s="6"/>
    </row>
    <row r="727" spans="1:10" ht="13.5" thickBot="1">
      <c r="A727" s="4"/>
      <c r="B727" s="4"/>
      <c r="C727" s="4"/>
      <c r="D727" s="5"/>
      <c r="E727" s="4"/>
      <c r="F727" s="4"/>
      <c r="G727" s="6"/>
      <c r="H727" s="6"/>
      <c r="I727" s="6"/>
      <c r="J727" s="6"/>
    </row>
    <row r="728" spans="1:10" ht="13.5" thickBot="1">
      <c r="A728" s="4"/>
      <c r="B728" s="4"/>
      <c r="C728" s="4"/>
      <c r="D728" s="5"/>
      <c r="E728" s="4"/>
      <c r="F728" s="4"/>
      <c r="G728" s="6"/>
      <c r="H728" s="6"/>
      <c r="I728" s="6"/>
      <c r="J728" s="6"/>
    </row>
    <row r="729" spans="1:10" ht="13.5" thickBot="1">
      <c r="A729" s="4"/>
      <c r="B729" s="4"/>
      <c r="C729" s="4"/>
      <c r="D729" s="5"/>
      <c r="E729" s="4"/>
      <c r="F729" s="4"/>
      <c r="G729" s="6"/>
      <c r="H729" s="6"/>
      <c r="I729" s="6"/>
      <c r="J729" s="6"/>
    </row>
    <row r="730" spans="1:10" ht="13.5" thickBot="1">
      <c r="A730" s="4"/>
      <c r="B730" s="4"/>
      <c r="C730" s="4"/>
      <c r="D730" s="5"/>
      <c r="E730" s="4"/>
      <c r="F730" s="4"/>
      <c r="G730" s="6"/>
      <c r="H730" s="6"/>
      <c r="I730" s="6"/>
      <c r="J730" s="6"/>
    </row>
    <row r="731" spans="1:10" ht="13.5" thickBot="1">
      <c r="A731" s="4"/>
      <c r="B731" s="4"/>
      <c r="C731" s="4"/>
      <c r="D731" s="5"/>
      <c r="E731" s="4"/>
      <c r="F731" s="4"/>
      <c r="G731" s="6"/>
      <c r="H731" s="6"/>
      <c r="I731" s="6"/>
      <c r="J731" s="6"/>
    </row>
    <row r="732" spans="1:10" ht="13.5" thickBot="1">
      <c r="A732" s="4"/>
      <c r="B732" s="4"/>
      <c r="C732" s="4"/>
      <c r="D732" s="5"/>
      <c r="E732" s="4"/>
      <c r="F732" s="4"/>
      <c r="G732" s="6"/>
      <c r="H732" s="6"/>
      <c r="I732" s="6"/>
      <c r="J732" s="6"/>
    </row>
    <row r="733" spans="1:10" ht="13.5" thickBot="1">
      <c r="A733" s="4"/>
      <c r="B733" s="4"/>
      <c r="C733" s="4"/>
      <c r="D733" s="5"/>
      <c r="E733" s="4"/>
      <c r="F733" s="4"/>
      <c r="G733" s="6"/>
      <c r="H733" s="6"/>
      <c r="I733" s="6"/>
      <c r="J733" s="6"/>
    </row>
    <row r="734" spans="1:10" ht="13.5" thickBot="1">
      <c r="A734" s="4"/>
      <c r="B734" s="4"/>
      <c r="C734" s="4"/>
      <c r="D734" s="5"/>
      <c r="E734" s="4"/>
      <c r="F734" s="4"/>
      <c r="G734" s="6"/>
      <c r="H734" s="6"/>
      <c r="I734" s="6"/>
      <c r="J734" s="6"/>
    </row>
    <row r="735" spans="1:10" ht="13.5" thickBot="1">
      <c r="A735" s="4"/>
      <c r="B735" s="4"/>
      <c r="C735" s="4"/>
      <c r="D735" s="5"/>
      <c r="E735" s="4"/>
      <c r="F735" s="4"/>
      <c r="G735" s="6"/>
      <c r="H735" s="6"/>
      <c r="I735" s="6"/>
      <c r="J735" s="6"/>
    </row>
    <row r="736" spans="1:10" ht="13.5" thickBot="1">
      <c r="A736" s="4"/>
      <c r="B736" s="4"/>
      <c r="C736" s="4"/>
      <c r="D736" s="5"/>
      <c r="E736" s="4"/>
      <c r="F736" s="4"/>
      <c r="G736" s="6"/>
      <c r="H736" s="6"/>
      <c r="I736" s="6"/>
      <c r="J736" s="6"/>
    </row>
    <row r="737" spans="1:10" ht="13.5" thickBot="1">
      <c r="A737" s="4"/>
      <c r="B737" s="4"/>
      <c r="C737" s="4"/>
      <c r="D737" s="5"/>
      <c r="E737" s="4"/>
      <c r="F737" s="4"/>
      <c r="G737" s="6"/>
      <c r="H737" s="6"/>
      <c r="I737" s="6"/>
      <c r="J737" s="6"/>
    </row>
    <row r="738" spans="1:10" ht="13.5" thickBot="1">
      <c r="A738" s="4"/>
      <c r="B738" s="4"/>
      <c r="C738" s="4"/>
      <c r="D738" s="5"/>
      <c r="E738" s="4"/>
      <c r="F738" s="4"/>
      <c r="G738" s="6"/>
      <c r="H738" s="6"/>
      <c r="I738" s="6"/>
      <c r="J738" s="6"/>
    </row>
    <row r="739" spans="1:10" ht="13.5" thickBot="1">
      <c r="A739" s="4"/>
      <c r="B739" s="4"/>
      <c r="C739" s="4"/>
      <c r="D739" s="5"/>
      <c r="E739" s="4"/>
      <c r="F739" s="4"/>
      <c r="G739" s="6"/>
      <c r="H739" s="6"/>
      <c r="I739" s="6"/>
      <c r="J739" s="6"/>
    </row>
    <row r="740" spans="1:10" ht="13.5" thickBot="1">
      <c r="A740" s="4"/>
      <c r="B740" s="4"/>
      <c r="C740" s="4"/>
      <c r="D740" s="5"/>
      <c r="E740" s="4"/>
      <c r="F740" s="4"/>
      <c r="G740" s="6"/>
      <c r="H740" s="6"/>
      <c r="I740" s="6"/>
      <c r="J740" s="6"/>
    </row>
    <row r="741" spans="1:10" ht="13.5" thickBot="1">
      <c r="A741" s="4"/>
      <c r="B741" s="4"/>
      <c r="C741" s="4"/>
      <c r="D741" s="5"/>
      <c r="E741" s="4"/>
      <c r="F741" s="4"/>
      <c r="G741" s="6"/>
      <c r="H741" s="6"/>
      <c r="I741" s="6"/>
      <c r="J741" s="6"/>
    </row>
    <row r="742" spans="1:10" ht="13.5" thickBot="1">
      <c r="A742" s="4"/>
      <c r="B742" s="4"/>
      <c r="C742" s="4"/>
      <c r="D742" s="5"/>
      <c r="E742" s="4"/>
      <c r="F742" s="4"/>
      <c r="G742" s="6"/>
      <c r="H742" s="6"/>
      <c r="I742" s="6"/>
      <c r="J742" s="6"/>
    </row>
    <row r="743" spans="1:10" ht="13.5" thickBot="1">
      <c r="A743" s="4"/>
      <c r="B743" s="4"/>
      <c r="C743" s="4"/>
      <c r="D743" s="5"/>
      <c r="E743" s="4"/>
      <c r="F743" s="4"/>
      <c r="G743" s="6"/>
      <c r="H743" s="6"/>
      <c r="I743" s="6"/>
      <c r="J743" s="6"/>
    </row>
    <row r="744" spans="1:10" ht="13.5" thickBot="1">
      <c r="A744" s="4"/>
      <c r="B744" s="4"/>
      <c r="C744" s="4"/>
      <c r="D744" s="5"/>
      <c r="E744" s="4"/>
      <c r="F744" s="4"/>
      <c r="G744" s="6"/>
      <c r="H744" s="6"/>
      <c r="I744" s="6"/>
      <c r="J744" s="6"/>
    </row>
    <row r="745" spans="1:10" ht="13.5" thickBot="1">
      <c r="A745" s="4"/>
      <c r="B745" s="4"/>
      <c r="C745" s="4"/>
      <c r="D745" s="5"/>
      <c r="E745" s="4"/>
      <c r="F745" s="4"/>
      <c r="G745" s="6"/>
      <c r="H745" s="6"/>
      <c r="I745" s="6"/>
      <c r="J745" s="6"/>
    </row>
    <row r="746" spans="1:10" ht="13.5" thickBot="1">
      <c r="A746" s="4"/>
      <c r="B746" s="4"/>
      <c r="C746" s="4"/>
      <c r="D746" s="5"/>
      <c r="E746" s="4"/>
      <c r="F746" s="4"/>
      <c r="G746" s="6"/>
      <c r="H746" s="6"/>
      <c r="I746" s="6"/>
      <c r="J746" s="6"/>
    </row>
    <row r="747" spans="1:10" ht="13.5" thickBot="1">
      <c r="A747" s="4"/>
      <c r="B747" s="4"/>
      <c r="C747" s="4"/>
      <c r="D747" s="5"/>
      <c r="E747" s="4"/>
      <c r="F747" s="4"/>
      <c r="G747" s="6"/>
      <c r="H747" s="6"/>
      <c r="I747" s="6"/>
      <c r="J747" s="6"/>
    </row>
    <row r="748" spans="1:10" ht="13.5" thickBot="1">
      <c r="A748" s="4"/>
      <c r="B748" s="4"/>
      <c r="C748" s="4"/>
      <c r="D748" s="5"/>
      <c r="E748" s="4"/>
      <c r="F748" s="4"/>
      <c r="G748" s="6"/>
      <c r="H748" s="6"/>
      <c r="I748" s="6"/>
      <c r="J748" s="6"/>
    </row>
    <row r="749" spans="1:10" ht="13.5" thickBot="1">
      <c r="A749" s="4"/>
      <c r="B749" s="4"/>
      <c r="C749" s="4"/>
      <c r="D749" s="5"/>
      <c r="E749" s="4"/>
      <c r="F749" s="4"/>
      <c r="G749" s="6"/>
      <c r="H749" s="6"/>
      <c r="I749" s="6"/>
      <c r="J749" s="6"/>
    </row>
    <row r="750" spans="1:10" ht="13.5" thickBot="1">
      <c r="A750" s="4"/>
      <c r="B750" s="4"/>
      <c r="C750" s="4"/>
      <c r="D750" s="5"/>
      <c r="E750" s="4"/>
      <c r="F750" s="4"/>
      <c r="G750" s="6"/>
      <c r="H750" s="6"/>
      <c r="I750" s="6"/>
      <c r="J750" s="6"/>
    </row>
    <row r="751" spans="1:10" ht="13.5" thickBot="1">
      <c r="A751" s="4"/>
      <c r="B751" s="4"/>
      <c r="C751" s="4"/>
      <c r="D751" s="5"/>
      <c r="E751" s="4"/>
      <c r="F751" s="4"/>
      <c r="G751" s="6"/>
      <c r="H751" s="6"/>
      <c r="I751" s="6"/>
      <c r="J751" s="6"/>
    </row>
    <row r="752" spans="1:10" ht="13.5" thickBot="1">
      <c r="A752" s="4"/>
      <c r="B752" s="4"/>
      <c r="C752" s="4"/>
      <c r="D752" s="5"/>
      <c r="E752" s="4"/>
      <c r="F752" s="4"/>
      <c r="G752" s="6"/>
      <c r="H752" s="6"/>
      <c r="I752" s="6"/>
      <c r="J752" s="6"/>
    </row>
    <row r="753" spans="1:10" ht="13.5" thickBot="1">
      <c r="A753" s="4"/>
      <c r="B753" s="4"/>
      <c r="C753" s="4"/>
      <c r="D753" s="5"/>
      <c r="E753" s="4"/>
      <c r="F753" s="4"/>
      <c r="G753" s="6"/>
      <c r="H753" s="6"/>
      <c r="I753" s="6"/>
      <c r="J753" s="6"/>
    </row>
    <row r="754" spans="1:10" ht="13.5" thickBot="1">
      <c r="A754" s="4"/>
      <c r="B754" s="4"/>
      <c r="C754" s="4"/>
      <c r="D754" s="5"/>
      <c r="E754" s="4"/>
      <c r="F754" s="4"/>
      <c r="G754" s="6"/>
      <c r="H754" s="6"/>
      <c r="I754" s="6"/>
      <c r="J754" s="6"/>
    </row>
    <row r="755" spans="1:10" ht="13.5" thickBot="1">
      <c r="A755" s="4"/>
      <c r="B755" s="4"/>
      <c r="C755" s="4"/>
      <c r="D755" s="5"/>
      <c r="E755" s="4"/>
      <c r="F755" s="4"/>
      <c r="G755" s="6"/>
      <c r="H755" s="6"/>
      <c r="I755" s="6"/>
      <c r="J755" s="6"/>
    </row>
    <row r="756" spans="1:10" ht="13.5" thickBot="1">
      <c r="A756" s="4"/>
      <c r="B756" s="4"/>
      <c r="C756" s="4"/>
      <c r="D756" s="5"/>
      <c r="E756" s="4"/>
      <c r="F756" s="4"/>
      <c r="G756" s="6"/>
      <c r="H756" s="6"/>
      <c r="I756" s="6"/>
      <c r="J756" s="6"/>
    </row>
    <row r="757" spans="1:10" ht="13.5" thickBot="1">
      <c r="A757" s="4"/>
      <c r="B757" s="4"/>
      <c r="C757" s="4"/>
      <c r="D757" s="5"/>
      <c r="E757" s="4"/>
      <c r="F757" s="4"/>
      <c r="G757" s="6"/>
      <c r="H757" s="6"/>
      <c r="I757" s="6"/>
      <c r="J757" s="6"/>
    </row>
    <row r="758" spans="1:10" ht="13.5" thickBot="1">
      <c r="A758" s="4"/>
      <c r="B758" s="4"/>
      <c r="C758" s="4"/>
      <c r="D758" s="5"/>
      <c r="E758" s="4"/>
      <c r="F758" s="4"/>
      <c r="G758" s="6"/>
      <c r="H758" s="6"/>
      <c r="I758" s="6"/>
      <c r="J758" s="6"/>
    </row>
    <row r="759" spans="1:10" ht="13.5" thickBot="1">
      <c r="A759" s="4"/>
      <c r="B759" s="4"/>
      <c r="C759" s="4"/>
      <c r="D759" s="5"/>
      <c r="E759" s="4"/>
      <c r="F759" s="4"/>
      <c r="G759" s="6"/>
      <c r="H759" s="6"/>
      <c r="I759" s="6"/>
      <c r="J759" s="6"/>
    </row>
    <row r="760" spans="1:10" ht="13.5" thickBot="1">
      <c r="A760" s="4"/>
      <c r="B760" s="4"/>
      <c r="C760" s="4"/>
      <c r="D760" s="5"/>
      <c r="E760" s="4"/>
      <c r="F760" s="4"/>
      <c r="G760" s="6"/>
      <c r="H760" s="6"/>
      <c r="I760" s="6"/>
      <c r="J760" s="6"/>
    </row>
    <row r="761" spans="1:10" ht="13.5" thickBot="1">
      <c r="A761" s="4"/>
      <c r="B761" s="4"/>
      <c r="C761" s="4"/>
      <c r="D761" s="5"/>
      <c r="E761" s="4"/>
      <c r="F761" s="4"/>
      <c r="G761" s="6"/>
      <c r="H761" s="6"/>
      <c r="I761" s="6"/>
      <c r="J761" s="6"/>
    </row>
    <row r="762" spans="1:10" ht="13.5" thickBot="1">
      <c r="A762" s="4"/>
      <c r="B762" s="4"/>
      <c r="C762" s="4"/>
      <c r="D762" s="5"/>
      <c r="E762" s="4"/>
      <c r="F762" s="4"/>
      <c r="G762" s="6"/>
      <c r="H762" s="6"/>
      <c r="I762" s="6"/>
      <c r="J762" s="6"/>
    </row>
    <row r="763" spans="1:10" ht="13.5" thickBot="1">
      <c r="A763" s="4"/>
      <c r="B763" s="4"/>
      <c r="C763" s="4"/>
      <c r="D763" s="5"/>
      <c r="E763" s="4"/>
      <c r="F763" s="4"/>
      <c r="G763" s="6"/>
      <c r="H763" s="6"/>
      <c r="I763" s="6"/>
      <c r="J763" s="6"/>
    </row>
    <row r="764" spans="1:10" ht="13.5" thickBot="1">
      <c r="A764" s="4"/>
      <c r="B764" s="4"/>
      <c r="C764" s="4"/>
      <c r="D764" s="5"/>
      <c r="E764" s="4"/>
      <c r="F764" s="4"/>
      <c r="G764" s="6"/>
      <c r="H764" s="6"/>
      <c r="I764" s="6"/>
      <c r="J764" s="6"/>
    </row>
    <row r="765" spans="1:10" ht="13.5" thickBot="1">
      <c r="A765" s="4"/>
      <c r="B765" s="4"/>
      <c r="C765" s="4"/>
      <c r="D765" s="5"/>
      <c r="E765" s="4"/>
      <c r="F765" s="4"/>
      <c r="G765" s="6"/>
      <c r="H765" s="6"/>
      <c r="I765" s="6"/>
      <c r="J765" s="6"/>
    </row>
    <row r="766" spans="1:10" ht="13.5" thickBot="1">
      <c r="A766" s="4"/>
      <c r="B766" s="4"/>
      <c r="C766" s="4"/>
      <c r="D766" s="5"/>
      <c r="E766" s="4"/>
      <c r="F766" s="4"/>
      <c r="G766" s="6"/>
      <c r="H766" s="6"/>
      <c r="I766" s="6"/>
      <c r="J766" s="6"/>
    </row>
    <row r="767" spans="1:10" ht="13.5" thickBot="1">
      <c r="A767" s="4"/>
      <c r="B767" s="4"/>
      <c r="C767" s="4"/>
      <c r="D767" s="5"/>
      <c r="E767" s="4"/>
      <c r="F767" s="4"/>
      <c r="G767" s="6"/>
      <c r="H767" s="6"/>
      <c r="I767" s="6"/>
      <c r="J767" s="6"/>
    </row>
    <row r="768" spans="1:10" ht="13.5" thickBot="1">
      <c r="A768" s="4"/>
      <c r="B768" s="4"/>
      <c r="C768" s="4"/>
      <c r="D768" s="5"/>
      <c r="E768" s="4"/>
      <c r="F768" s="4"/>
      <c r="G768" s="6"/>
      <c r="H768" s="6"/>
      <c r="I768" s="6"/>
      <c r="J768" s="6"/>
    </row>
    <row r="769" spans="1:10" ht="13.5" thickBot="1">
      <c r="A769" s="4"/>
      <c r="B769" s="4"/>
      <c r="C769" s="4"/>
      <c r="D769" s="5"/>
      <c r="E769" s="4"/>
      <c r="F769" s="4"/>
      <c r="G769" s="6"/>
      <c r="H769" s="6"/>
      <c r="I769" s="6"/>
      <c r="J769" s="6"/>
    </row>
    <row r="770" spans="1:10" ht="13.5" thickBot="1">
      <c r="A770" s="4"/>
      <c r="B770" s="4"/>
      <c r="C770" s="4"/>
      <c r="D770" s="5"/>
      <c r="E770" s="4"/>
      <c r="F770" s="4"/>
      <c r="G770" s="6"/>
      <c r="H770" s="6"/>
      <c r="I770" s="6"/>
      <c r="J770" s="6"/>
    </row>
    <row r="771" spans="1:10" ht="13.5" thickBot="1">
      <c r="A771" s="4"/>
      <c r="B771" s="4"/>
      <c r="C771" s="4"/>
      <c r="D771" s="5"/>
      <c r="E771" s="4"/>
      <c r="F771" s="4"/>
      <c r="G771" s="6"/>
      <c r="H771" s="6"/>
      <c r="I771" s="6"/>
      <c r="J771" s="6"/>
    </row>
    <row r="772" spans="1:10" ht="13.5" thickBot="1">
      <c r="A772" s="4"/>
      <c r="B772" s="4"/>
      <c r="C772" s="4"/>
      <c r="D772" s="5"/>
      <c r="E772" s="4"/>
      <c r="F772" s="4"/>
      <c r="G772" s="6"/>
      <c r="H772" s="6"/>
      <c r="I772" s="6"/>
      <c r="J772" s="6"/>
    </row>
    <row r="773" spans="1:10" ht="13.5" thickBot="1">
      <c r="A773" s="4"/>
      <c r="B773" s="4"/>
      <c r="C773" s="4"/>
      <c r="D773" s="5"/>
      <c r="E773" s="4"/>
      <c r="F773" s="4"/>
      <c r="G773" s="6"/>
      <c r="H773" s="6"/>
      <c r="I773" s="6"/>
      <c r="J773" s="6"/>
    </row>
    <row r="774" spans="1:10" ht="13.5" thickBot="1">
      <c r="A774" s="4"/>
      <c r="B774" s="4"/>
      <c r="C774" s="4"/>
      <c r="D774" s="5"/>
      <c r="E774" s="4"/>
      <c r="F774" s="4"/>
      <c r="G774" s="6"/>
      <c r="H774" s="6"/>
      <c r="I774" s="6"/>
      <c r="J774" s="6"/>
    </row>
    <row r="775" spans="1:10" ht="13.5" thickBot="1">
      <c r="A775" s="4"/>
      <c r="B775" s="4"/>
      <c r="C775" s="4"/>
      <c r="D775" s="5"/>
      <c r="E775" s="4"/>
      <c r="F775" s="4"/>
      <c r="G775" s="6"/>
      <c r="H775" s="6"/>
      <c r="I775" s="6"/>
      <c r="J775" s="6"/>
    </row>
    <row r="776" spans="1:10" ht="13.5" thickBot="1">
      <c r="A776" s="4"/>
      <c r="B776" s="4"/>
      <c r="C776" s="4"/>
      <c r="D776" s="5"/>
      <c r="E776" s="4"/>
      <c r="F776" s="4"/>
      <c r="G776" s="6"/>
      <c r="H776" s="6"/>
      <c r="I776" s="6"/>
      <c r="J776" s="6"/>
    </row>
    <row r="777" spans="1:10" ht="13.5" thickBot="1">
      <c r="A777" s="4"/>
      <c r="B777" s="4"/>
      <c r="C777" s="4"/>
      <c r="D777" s="5"/>
      <c r="E777" s="4"/>
      <c r="F777" s="4"/>
      <c r="G777" s="6"/>
      <c r="H777" s="6"/>
      <c r="I777" s="6"/>
      <c r="J777" s="6"/>
    </row>
    <row r="778" spans="1:10" ht="13.5" thickBot="1">
      <c r="A778" s="4"/>
      <c r="B778" s="4"/>
      <c r="C778" s="4"/>
      <c r="D778" s="5"/>
      <c r="E778" s="4"/>
      <c r="F778" s="4"/>
      <c r="G778" s="6"/>
      <c r="H778" s="6"/>
      <c r="I778" s="6"/>
      <c r="J778" s="6"/>
    </row>
    <row r="779" spans="1:10" ht="13.5" thickBot="1">
      <c r="A779" s="4"/>
      <c r="B779" s="4"/>
      <c r="C779" s="4"/>
      <c r="D779" s="5"/>
      <c r="E779" s="4"/>
      <c r="F779" s="4"/>
      <c r="G779" s="6"/>
      <c r="H779" s="6"/>
      <c r="I779" s="6"/>
      <c r="J779" s="6"/>
    </row>
    <row r="780" spans="1:10" ht="13.5" thickBot="1">
      <c r="A780" s="4"/>
      <c r="B780" s="4"/>
      <c r="C780" s="4"/>
      <c r="D780" s="5"/>
      <c r="E780" s="4"/>
      <c r="F780" s="4"/>
      <c r="G780" s="6"/>
      <c r="H780" s="6"/>
      <c r="I780" s="6"/>
      <c r="J780" s="6"/>
    </row>
    <row r="781" spans="1:10" ht="13.5" thickBot="1">
      <c r="A781" s="4"/>
      <c r="B781" s="4"/>
      <c r="C781" s="4"/>
      <c r="D781" s="5"/>
      <c r="E781" s="4"/>
      <c r="F781" s="4"/>
      <c r="G781" s="6"/>
      <c r="H781" s="6"/>
      <c r="I781" s="6"/>
      <c r="J781" s="6"/>
    </row>
    <row r="782" spans="1:10" ht="13.5" thickBot="1">
      <c r="A782" s="4"/>
      <c r="B782" s="4"/>
      <c r="C782" s="4"/>
      <c r="D782" s="5"/>
      <c r="E782" s="4"/>
      <c r="F782" s="4"/>
      <c r="G782" s="6"/>
      <c r="H782" s="6"/>
      <c r="I782" s="6"/>
      <c r="J782" s="6"/>
    </row>
    <row r="783" spans="1:10" ht="13.5" thickBot="1">
      <c r="A783" s="4"/>
      <c r="B783" s="4"/>
      <c r="C783" s="4"/>
      <c r="D783" s="5"/>
      <c r="E783" s="4"/>
      <c r="F783" s="4"/>
      <c r="G783" s="6"/>
      <c r="H783" s="6"/>
      <c r="I783" s="6"/>
      <c r="J783" s="6"/>
    </row>
    <row r="784" spans="1:10" ht="13.5" thickBot="1">
      <c r="A784" s="4"/>
      <c r="B784" s="4"/>
      <c r="C784" s="4"/>
      <c r="D784" s="5"/>
      <c r="E784" s="4"/>
      <c r="F784" s="4"/>
      <c r="G784" s="6"/>
      <c r="H784" s="6"/>
      <c r="I784" s="6"/>
      <c r="J784" s="6"/>
    </row>
    <row r="785" spans="1:10" ht="13.5" thickBot="1">
      <c r="A785" s="4"/>
      <c r="B785" s="4"/>
      <c r="C785" s="4"/>
      <c r="D785" s="5"/>
      <c r="E785" s="4"/>
      <c r="F785" s="4"/>
      <c r="G785" s="6"/>
      <c r="H785" s="6"/>
      <c r="I785" s="6"/>
      <c r="J785" s="6"/>
    </row>
    <row r="786" spans="1:10" ht="13.5" thickBot="1">
      <c r="A786" s="4"/>
      <c r="B786" s="4"/>
      <c r="C786" s="4"/>
      <c r="D786" s="5"/>
      <c r="E786" s="4"/>
      <c r="F786" s="4"/>
      <c r="G786" s="6"/>
      <c r="H786" s="6"/>
      <c r="I786" s="6"/>
      <c r="J786" s="6"/>
    </row>
    <row r="787" spans="1:10" ht="13.5" thickBot="1">
      <c r="A787" s="4"/>
      <c r="B787" s="4"/>
      <c r="C787" s="4"/>
      <c r="D787" s="5"/>
      <c r="E787" s="4"/>
      <c r="F787" s="4"/>
      <c r="G787" s="6"/>
      <c r="H787" s="6"/>
      <c r="I787" s="6"/>
      <c r="J787" s="6"/>
    </row>
    <row r="788" spans="1:10" ht="13.5" thickBot="1">
      <c r="A788" s="4"/>
      <c r="B788" s="4"/>
      <c r="C788" s="4"/>
      <c r="D788" s="5"/>
      <c r="E788" s="4"/>
      <c r="F788" s="4"/>
      <c r="G788" s="6"/>
      <c r="H788" s="6"/>
      <c r="I788" s="6"/>
      <c r="J788" s="6"/>
    </row>
    <row r="789" spans="1:10" ht="13.5" thickBot="1">
      <c r="A789" s="4"/>
      <c r="B789" s="4"/>
      <c r="C789" s="4"/>
      <c r="D789" s="5"/>
      <c r="E789" s="4"/>
      <c r="F789" s="4"/>
      <c r="G789" s="6"/>
      <c r="H789" s="6"/>
      <c r="I789" s="6"/>
      <c r="J789" s="6"/>
    </row>
    <row r="790" spans="1:10" ht="13.5" thickBot="1">
      <c r="A790" s="4"/>
      <c r="B790" s="4"/>
      <c r="C790" s="4"/>
      <c r="D790" s="5"/>
      <c r="E790" s="4"/>
      <c r="F790" s="4"/>
      <c r="G790" s="6"/>
      <c r="H790" s="6"/>
      <c r="I790" s="6"/>
      <c r="J790" s="6"/>
    </row>
    <row r="791" spans="1:10" ht="13.5" thickBot="1">
      <c r="A791" s="4"/>
      <c r="B791" s="4"/>
      <c r="C791" s="4"/>
      <c r="D791" s="5"/>
      <c r="E791" s="4"/>
      <c r="F791" s="4"/>
      <c r="G791" s="6"/>
      <c r="H791" s="6"/>
      <c r="I791" s="6"/>
      <c r="J791" s="6"/>
    </row>
    <row r="792" spans="1:10" ht="13.5" thickBot="1">
      <c r="A792" s="4"/>
      <c r="B792" s="4"/>
      <c r="C792" s="4"/>
      <c r="D792" s="5"/>
      <c r="E792" s="4"/>
      <c r="F792" s="4"/>
      <c r="G792" s="6"/>
      <c r="H792" s="6"/>
      <c r="I792" s="6"/>
      <c r="J792" s="6"/>
    </row>
    <row r="793" spans="1:10" ht="13.5" thickBot="1">
      <c r="A793" s="4"/>
      <c r="B793" s="4"/>
      <c r="C793" s="4"/>
      <c r="D793" s="5"/>
      <c r="E793" s="4"/>
      <c r="F793" s="4"/>
      <c r="G793" s="6"/>
      <c r="H793" s="6"/>
      <c r="I793" s="6"/>
      <c r="J793" s="6"/>
    </row>
    <row r="794" spans="1:10" ht="13.5" thickBot="1">
      <c r="A794" s="4"/>
      <c r="B794" s="4"/>
      <c r="C794" s="4"/>
      <c r="D794" s="5"/>
      <c r="E794" s="4"/>
      <c r="F794" s="4"/>
      <c r="G794" s="6"/>
      <c r="H794" s="6"/>
      <c r="I794" s="6"/>
      <c r="J794" s="6"/>
    </row>
    <row r="795" spans="1:10" ht="13.5" thickBot="1">
      <c r="A795" s="4"/>
      <c r="B795" s="4"/>
      <c r="C795" s="4"/>
      <c r="D795" s="5"/>
      <c r="E795" s="4"/>
      <c r="F795" s="4"/>
      <c r="G795" s="6"/>
      <c r="H795" s="6"/>
      <c r="I795" s="6"/>
      <c r="J795" s="6"/>
    </row>
    <row r="796" spans="1:10" ht="13.5" thickBot="1">
      <c r="A796" s="4"/>
      <c r="B796" s="4"/>
      <c r="C796" s="4"/>
      <c r="D796" s="5"/>
      <c r="E796" s="4"/>
      <c r="F796" s="4"/>
      <c r="G796" s="6"/>
      <c r="H796" s="6"/>
      <c r="I796" s="6"/>
      <c r="J796" s="6"/>
    </row>
    <row r="797" spans="1:10" ht="13.5" thickBot="1">
      <c r="A797" s="4"/>
      <c r="B797" s="4"/>
      <c r="C797" s="4"/>
      <c r="D797" s="5"/>
      <c r="E797" s="4"/>
      <c r="F797" s="4"/>
      <c r="G797" s="6"/>
      <c r="H797" s="6"/>
      <c r="I797" s="6"/>
      <c r="J797" s="6"/>
    </row>
    <row r="798" spans="1:10" ht="13.5" thickBot="1">
      <c r="A798" s="4"/>
      <c r="B798" s="4"/>
      <c r="C798" s="4"/>
      <c r="D798" s="5"/>
      <c r="E798" s="4"/>
      <c r="F798" s="4"/>
      <c r="G798" s="6"/>
      <c r="H798" s="6"/>
      <c r="I798" s="6"/>
      <c r="J798" s="6"/>
    </row>
    <row r="799" spans="1:10" ht="13.5" thickBot="1">
      <c r="A799" s="4"/>
      <c r="B799" s="4"/>
      <c r="C799" s="4"/>
      <c r="D799" s="5"/>
      <c r="E799" s="4"/>
      <c r="F799" s="4"/>
      <c r="G799" s="6"/>
      <c r="H799" s="6"/>
      <c r="I799" s="6"/>
      <c r="J799" s="6"/>
    </row>
    <row r="800" spans="1:10" ht="13.5" thickBot="1">
      <c r="A800" s="4"/>
      <c r="B800" s="4"/>
      <c r="C800" s="4"/>
      <c r="D800" s="5"/>
      <c r="E800" s="4"/>
      <c r="F800" s="4"/>
      <c r="G800" s="6"/>
      <c r="H800" s="6"/>
      <c r="I800" s="6"/>
      <c r="J800" s="6"/>
    </row>
    <row r="801" spans="1:10" ht="13.5" thickBot="1">
      <c r="A801" s="4"/>
      <c r="B801" s="4"/>
      <c r="C801" s="4"/>
      <c r="D801" s="5"/>
      <c r="E801" s="4"/>
      <c r="F801" s="4"/>
      <c r="G801" s="6"/>
      <c r="H801" s="6"/>
      <c r="I801" s="6"/>
      <c r="J801" s="6"/>
    </row>
    <row r="802" spans="1:10" ht="13.5" thickBot="1">
      <c r="A802" s="4"/>
      <c r="B802" s="4"/>
      <c r="C802" s="4"/>
      <c r="D802" s="5"/>
      <c r="E802" s="4"/>
      <c r="F802" s="4"/>
      <c r="G802" s="6"/>
      <c r="H802" s="6"/>
      <c r="I802" s="6"/>
      <c r="J802" s="6"/>
    </row>
    <row r="803" spans="1:10" ht="13.5" thickBot="1">
      <c r="A803" s="4"/>
      <c r="B803" s="4"/>
      <c r="C803" s="4"/>
      <c r="D803" s="5"/>
      <c r="E803" s="4"/>
      <c r="F803" s="4"/>
      <c r="G803" s="6"/>
      <c r="H803" s="6"/>
      <c r="I803" s="6"/>
      <c r="J803" s="6"/>
    </row>
    <row r="804" spans="1:10" ht="13.5" thickBot="1">
      <c r="A804" s="4"/>
      <c r="B804" s="4"/>
      <c r="C804" s="4"/>
      <c r="D804" s="5"/>
      <c r="E804" s="4"/>
      <c r="F804" s="4"/>
      <c r="G804" s="6"/>
      <c r="H804" s="6"/>
      <c r="I804" s="6"/>
      <c r="J804" s="6"/>
    </row>
    <row r="805" spans="1:10" ht="13.5" thickBot="1">
      <c r="A805" s="4"/>
      <c r="B805" s="4"/>
      <c r="C805" s="4"/>
      <c r="D805" s="5"/>
      <c r="E805" s="4"/>
      <c r="F805" s="4"/>
      <c r="G805" s="6"/>
      <c r="H805" s="6"/>
      <c r="I805" s="6"/>
      <c r="J805" s="6"/>
    </row>
    <row r="806" spans="1:10" ht="13.5" thickBot="1">
      <c r="A806" s="4"/>
      <c r="B806" s="4"/>
      <c r="C806" s="4"/>
      <c r="D806" s="5"/>
      <c r="E806" s="4"/>
      <c r="F806" s="4"/>
      <c r="G806" s="6"/>
      <c r="H806" s="6"/>
      <c r="I806" s="6"/>
      <c r="J806" s="6"/>
    </row>
    <row r="807" spans="1:10" ht="13.5" thickBot="1">
      <c r="A807" s="4"/>
      <c r="B807" s="4"/>
      <c r="C807" s="4"/>
      <c r="D807" s="5"/>
      <c r="E807" s="4"/>
      <c r="F807" s="4"/>
      <c r="G807" s="6"/>
      <c r="H807" s="6"/>
      <c r="I807" s="6"/>
      <c r="J807" s="6"/>
    </row>
    <row r="808" spans="1:10" ht="13.5" thickBot="1">
      <c r="A808" s="4"/>
      <c r="B808" s="4"/>
      <c r="C808" s="4"/>
      <c r="D808" s="5"/>
      <c r="E808" s="4"/>
      <c r="F808" s="4"/>
      <c r="G808" s="6"/>
      <c r="H808" s="6"/>
      <c r="I808" s="6"/>
      <c r="J808" s="6"/>
    </row>
    <row r="809" spans="1:10" ht="13.5" thickBot="1">
      <c r="A809" s="4"/>
      <c r="B809" s="4"/>
      <c r="C809" s="4"/>
      <c r="D809" s="5"/>
      <c r="E809" s="4"/>
      <c r="F809" s="4"/>
      <c r="G809" s="6"/>
      <c r="H809" s="6"/>
      <c r="I809" s="6"/>
      <c r="J809" s="6"/>
    </row>
    <row r="810" spans="1:10" ht="13.5" thickBot="1">
      <c r="A810" s="4"/>
      <c r="B810" s="4"/>
      <c r="C810" s="4"/>
      <c r="D810" s="5"/>
      <c r="E810" s="4"/>
      <c r="F810" s="4"/>
      <c r="G810" s="6"/>
      <c r="H810" s="6"/>
      <c r="I810" s="6"/>
      <c r="J810" s="6"/>
    </row>
    <row r="811" spans="1:10" ht="13.5" thickBot="1">
      <c r="A811" s="4"/>
      <c r="B811" s="4"/>
      <c r="C811" s="4"/>
      <c r="D811" s="5"/>
      <c r="E811" s="4"/>
      <c r="F811" s="4"/>
      <c r="G811" s="6"/>
      <c r="H811" s="6"/>
      <c r="I811" s="6"/>
      <c r="J811" s="6"/>
    </row>
    <row r="812" spans="1:10" ht="13.5" thickBot="1">
      <c r="A812" s="4"/>
      <c r="B812" s="4"/>
      <c r="C812" s="4"/>
      <c r="D812" s="5"/>
      <c r="E812" s="4"/>
      <c r="F812" s="4"/>
      <c r="G812" s="6"/>
      <c r="H812" s="6"/>
      <c r="I812" s="6"/>
      <c r="J812" s="6"/>
    </row>
    <row r="813" spans="1:10" ht="13.5" thickBot="1">
      <c r="A813" s="4"/>
      <c r="B813" s="4"/>
      <c r="C813" s="4"/>
      <c r="D813" s="5"/>
      <c r="E813" s="4"/>
      <c r="F813" s="4"/>
      <c r="G813" s="6"/>
      <c r="H813" s="6"/>
      <c r="I813" s="6"/>
      <c r="J813" s="6"/>
    </row>
    <row r="814" spans="1:10" ht="13.5" thickBot="1">
      <c r="A814" s="4"/>
      <c r="B814" s="4"/>
      <c r="C814" s="4"/>
      <c r="D814" s="5"/>
      <c r="E814" s="4"/>
      <c r="F814" s="4"/>
      <c r="G814" s="6"/>
      <c r="H814" s="6"/>
      <c r="I814" s="6"/>
      <c r="J814" s="6"/>
    </row>
    <row r="815" spans="1:10" ht="13.5" thickBot="1">
      <c r="A815" s="4"/>
      <c r="B815" s="4"/>
      <c r="C815" s="4"/>
      <c r="D815" s="5"/>
      <c r="E815" s="4"/>
      <c r="F815" s="4"/>
      <c r="G815" s="6"/>
      <c r="H815" s="6"/>
      <c r="I815" s="6"/>
      <c r="J815" s="6"/>
    </row>
    <row r="816" spans="1:10" ht="13.5" thickBot="1">
      <c r="A816" s="4"/>
      <c r="B816" s="4"/>
      <c r="C816" s="4"/>
      <c r="D816" s="5"/>
      <c r="E816" s="4"/>
      <c r="F816" s="4"/>
      <c r="G816" s="6"/>
      <c r="H816" s="6"/>
      <c r="I816" s="6"/>
      <c r="J816" s="6"/>
    </row>
    <row r="817" spans="1:10" ht="13.5" thickBot="1">
      <c r="A817" s="4"/>
      <c r="B817" s="4"/>
      <c r="C817" s="4"/>
      <c r="D817" s="5"/>
      <c r="E817" s="4"/>
      <c r="F817" s="4"/>
      <c r="G817" s="6"/>
      <c r="H817" s="6"/>
      <c r="I817" s="6"/>
      <c r="J817" s="6"/>
    </row>
    <row r="818" spans="1:10" ht="13.5" thickBot="1">
      <c r="A818" s="4"/>
      <c r="B818" s="4"/>
      <c r="C818" s="4"/>
      <c r="D818" s="5"/>
      <c r="E818" s="4"/>
      <c r="F818" s="4"/>
      <c r="G818" s="6"/>
      <c r="H818" s="6"/>
      <c r="I818" s="6"/>
      <c r="J818" s="6"/>
    </row>
    <row r="819" spans="1:10" ht="13.5" thickBot="1">
      <c r="A819" s="4"/>
      <c r="B819" s="4"/>
      <c r="C819" s="4"/>
      <c r="D819" s="5"/>
      <c r="E819" s="4"/>
      <c r="F819" s="4"/>
      <c r="G819" s="6"/>
      <c r="H819" s="6"/>
      <c r="I819" s="6"/>
      <c r="J819" s="6"/>
    </row>
    <row r="820" spans="1:10" ht="13.5" thickBot="1">
      <c r="A820" s="4"/>
      <c r="B820" s="4"/>
      <c r="C820" s="4"/>
      <c r="D820" s="5"/>
      <c r="E820" s="4"/>
      <c r="F820" s="4"/>
      <c r="G820" s="6"/>
      <c r="H820" s="6"/>
      <c r="I820" s="6"/>
      <c r="J820" s="6"/>
    </row>
    <row r="821" spans="1:10" ht="13.5" thickBot="1">
      <c r="A821" s="4"/>
      <c r="B821" s="4"/>
      <c r="C821" s="4"/>
      <c r="D821" s="5"/>
      <c r="E821" s="4"/>
      <c r="F821" s="4"/>
      <c r="G821" s="6"/>
      <c r="H821" s="6"/>
      <c r="I821" s="6"/>
      <c r="J821" s="6"/>
    </row>
    <row r="822" spans="1:10" ht="13.5" thickBot="1">
      <c r="A822" s="4"/>
      <c r="B822" s="4"/>
      <c r="C822" s="4"/>
      <c r="D822" s="5"/>
      <c r="E822" s="4"/>
      <c r="F822" s="4"/>
      <c r="G822" s="6"/>
      <c r="H822" s="6"/>
      <c r="I822" s="6"/>
      <c r="J822" s="6"/>
    </row>
    <row r="823" spans="1:10" ht="13.5" thickBot="1">
      <c r="A823" s="4"/>
      <c r="B823" s="4"/>
      <c r="C823" s="4"/>
      <c r="D823" s="5"/>
      <c r="E823" s="4"/>
      <c r="F823" s="4"/>
      <c r="G823" s="6"/>
      <c r="H823" s="6"/>
      <c r="I823" s="6"/>
      <c r="J823" s="6"/>
    </row>
    <row r="824" spans="1:10" ht="13.5" thickBot="1">
      <c r="A824" s="4"/>
      <c r="B824" s="4"/>
      <c r="C824" s="4"/>
      <c r="D824" s="5"/>
      <c r="E824" s="4"/>
      <c r="F824" s="4"/>
      <c r="G824" s="6"/>
      <c r="H824" s="6"/>
      <c r="I824" s="6"/>
      <c r="J824" s="6"/>
    </row>
    <row r="825" spans="1:10" ht="13.5" thickBot="1">
      <c r="A825" s="4"/>
      <c r="B825" s="4"/>
      <c r="C825" s="4"/>
      <c r="D825" s="5"/>
      <c r="E825" s="4"/>
      <c r="F825" s="4"/>
      <c r="G825" s="6"/>
      <c r="H825" s="6"/>
      <c r="I825" s="6"/>
      <c r="J825" s="6"/>
    </row>
    <row r="826" spans="1:10" ht="13.5" thickBot="1">
      <c r="A826" s="4"/>
      <c r="B826" s="4"/>
      <c r="C826" s="4"/>
      <c r="D826" s="5"/>
      <c r="E826" s="4"/>
      <c r="F826" s="4"/>
      <c r="G826" s="6"/>
      <c r="H826" s="6"/>
      <c r="I826" s="6"/>
      <c r="J826" s="6"/>
    </row>
    <row r="827" spans="1:10" ht="13.5" thickBot="1">
      <c r="A827" s="4"/>
      <c r="B827" s="4"/>
      <c r="C827" s="4"/>
      <c r="D827" s="5"/>
      <c r="E827" s="4"/>
      <c r="F827" s="4"/>
      <c r="G827" s="6"/>
      <c r="H827" s="6"/>
      <c r="I827" s="6"/>
      <c r="J827" s="6"/>
    </row>
    <row r="828" spans="1:10" ht="13.5" thickBot="1">
      <c r="A828" s="4"/>
      <c r="B828" s="4"/>
      <c r="C828" s="4"/>
      <c r="D828" s="5"/>
      <c r="E828" s="4"/>
      <c r="F828" s="4"/>
      <c r="G828" s="6"/>
      <c r="H828" s="6"/>
      <c r="I828" s="6"/>
      <c r="J828" s="6"/>
    </row>
    <row r="829" spans="1:10" ht="13.5" thickBot="1">
      <c r="A829" s="4"/>
      <c r="B829" s="4"/>
      <c r="C829" s="4"/>
      <c r="D829" s="5"/>
      <c r="E829" s="4"/>
      <c r="F829" s="4"/>
      <c r="G829" s="6"/>
      <c r="H829" s="6"/>
      <c r="I829" s="6"/>
      <c r="J829" s="6"/>
    </row>
    <row r="830" spans="1:10" ht="13.5" thickBot="1">
      <c r="A830" s="4"/>
      <c r="B830" s="4"/>
      <c r="C830" s="4"/>
      <c r="D830" s="5"/>
      <c r="E830" s="4"/>
      <c r="F830" s="4"/>
      <c r="G830" s="6"/>
      <c r="H830" s="6"/>
      <c r="I830" s="6"/>
      <c r="J830" s="6"/>
    </row>
    <row r="831" spans="1:10" ht="13.5" thickBot="1">
      <c r="A831" s="4"/>
      <c r="B831" s="4"/>
      <c r="C831" s="4"/>
      <c r="D831" s="5"/>
      <c r="E831" s="4"/>
      <c r="F831" s="4"/>
      <c r="G831" s="6"/>
      <c r="H831" s="6"/>
      <c r="I831" s="6"/>
      <c r="J831" s="6"/>
    </row>
    <row r="832" spans="1:10" ht="13.5" thickBot="1">
      <c r="A832" s="4"/>
      <c r="B832" s="4"/>
      <c r="C832" s="4"/>
      <c r="D832" s="5"/>
      <c r="E832" s="4"/>
      <c r="F832" s="4"/>
      <c r="G832" s="6"/>
      <c r="H832" s="6"/>
      <c r="I832" s="6"/>
      <c r="J832" s="6"/>
    </row>
    <row r="833" spans="1:10" ht="13.5" thickBot="1">
      <c r="A833" s="4"/>
      <c r="B833" s="4"/>
      <c r="C833" s="4"/>
      <c r="D833" s="5"/>
      <c r="E833" s="4"/>
      <c r="F833" s="4"/>
      <c r="G833" s="6"/>
      <c r="H833" s="6"/>
      <c r="I833" s="6"/>
      <c r="J833" s="6"/>
    </row>
    <row r="834" spans="1:10" ht="13.5" thickBot="1">
      <c r="A834" s="4"/>
      <c r="B834" s="4"/>
      <c r="C834" s="4"/>
      <c r="D834" s="5"/>
      <c r="E834" s="4"/>
      <c r="F834" s="4"/>
      <c r="G834" s="6"/>
      <c r="H834" s="6"/>
      <c r="I834" s="6"/>
      <c r="J834" s="6"/>
    </row>
    <row r="835" spans="1:10" ht="13.5" thickBot="1">
      <c r="A835" s="4"/>
      <c r="B835" s="4"/>
      <c r="C835" s="4"/>
      <c r="D835" s="5"/>
      <c r="E835" s="4"/>
      <c r="F835" s="4"/>
      <c r="G835" s="6"/>
      <c r="H835" s="6"/>
      <c r="I835" s="6"/>
      <c r="J835" s="6"/>
    </row>
    <row r="836" spans="1:10" ht="13.5" thickBot="1">
      <c r="A836" s="4"/>
      <c r="B836" s="4"/>
      <c r="C836" s="4"/>
      <c r="D836" s="5"/>
      <c r="E836" s="4"/>
      <c r="F836" s="4"/>
      <c r="G836" s="6"/>
      <c r="H836" s="6"/>
      <c r="I836" s="6"/>
      <c r="J836" s="6"/>
    </row>
    <row r="837" spans="1:10" ht="13.5" thickBot="1">
      <c r="A837" s="4"/>
      <c r="B837" s="4"/>
      <c r="C837" s="4"/>
      <c r="D837" s="5"/>
      <c r="E837" s="4"/>
      <c r="F837" s="4"/>
      <c r="G837" s="6"/>
      <c r="H837" s="6"/>
      <c r="I837" s="6"/>
      <c r="J837" s="6"/>
    </row>
    <row r="838" spans="1:10" ht="13.5" thickBot="1">
      <c r="A838" s="4"/>
      <c r="B838" s="4"/>
      <c r="C838" s="4"/>
      <c r="D838" s="5"/>
      <c r="E838" s="4"/>
      <c r="F838" s="4"/>
      <c r="G838" s="6"/>
      <c r="H838" s="6"/>
      <c r="I838" s="6"/>
      <c r="J838" s="6"/>
    </row>
    <row r="839" spans="1:10" ht="13.5" thickBot="1">
      <c r="A839" s="4"/>
      <c r="B839" s="4"/>
      <c r="C839" s="4"/>
      <c r="D839" s="5"/>
      <c r="E839" s="4"/>
      <c r="F839" s="4"/>
      <c r="G839" s="6"/>
      <c r="H839" s="6"/>
      <c r="I839" s="6"/>
      <c r="J839" s="6"/>
    </row>
    <row r="840" spans="1:10" ht="13.5" thickBot="1">
      <c r="A840" s="4"/>
      <c r="B840" s="4"/>
      <c r="C840" s="4"/>
      <c r="D840" s="5"/>
      <c r="E840" s="4"/>
      <c r="F840" s="4"/>
      <c r="G840" s="6"/>
      <c r="H840" s="6"/>
      <c r="I840" s="6"/>
      <c r="J840" s="6"/>
    </row>
    <row r="841" spans="1:10" ht="13.5" thickBot="1">
      <c r="A841" s="4"/>
      <c r="B841" s="4"/>
      <c r="C841" s="4"/>
      <c r="D841" s="5"/>
      <c r="E841" s="4"/>
      <c r="F841" s="4"/>
      <c r="G841" s="6"/>
      <c r="H841" s="6"/>
      <c r="I841" s="6"/>
      <c r="J841" s="6"/>
    </row>
    <row r="842" spans="1:10" ht="13.5" thickBot="1">
      <c r="A842" s="4"/>
      <c r="B842" s="4"/>
      <c r="C842" s="4"/>
      <c r="D842" s="5"/>
      <c r="E842" s="4"/>
      <c r="F842" s="4"/>
      <c r="G842" s="6"/>
      <c r="H842" s="6"/>
      <c r="I842" s="6"/>
      <c r="J842" s="6"/>
    </row>
    <row r="843" spans="1:10" ht="13.5" thickBot="1">
      <c r="A843" s="4"/>
      <c r="B843" s="4"/>
      <c r="C843" s="4"/>
      <c r="D843" s="5"/>
      <c r="E843" s="4"/>
      <c r="F843" s="4"/>
      <c r="G843" s="6"/>
      <c r="H843" s="6"/>
      <c r="I843" s="6"/>
      <c r="J843" s="6"/>
    </row>
    <row r="844" spans="1:10" ht="13.5" thickBot="1">
      <c r="A844" s="4"/>
      <c r="B844" s="4"/>
      <c r="C844" s="4"/>
      <c r="D844" s="5"/>
      <c r="E844" s="4"/>
      <c r="F844" s="4"/>
      <c r="G844" s="6"/>
      <c r="H844" s="6"/>
      <c r="I844" s="6"/>
      <c r="J844" s="6"/>
    </row>
    <row r="845" spans="1:10" ht="13.5" thickBot="1">
      <c r="A845" s="4"/>
      <c r="B845" s="4"/>
      <c r="C845" s="4"/>
      <c r="D845" s="5"/>
      <c r="E845" s="4"/>
      <c r="F845" s="4"/>
      <c r="G845" s="6"/>
      <c r="H845" s="6"/>
      <c r="I845" s="6"/>
      <c r="J845" s="6"/>
    </row>
    <row r="846" spans="1:10" ht="13.5" thickBot="1">
      <c r="A846" s="4"/>
      <c r="B846" s="4"/>
      <c r="C846" s="4"/>
      <c r="D846" s="5"/>
      <c r="E846" s="4"/>
      <c r="F846" s="4"/>
      <c r="G846" s="6"/>
      <c r="H846" s="6"/>
      <c r="I846" s="6"/>
      <c r="J846" s="6"/>
    </row>
    <row r="847" spans="1:10" ht="13.5" thickBot="1">
      <c r="A847" s="4"/>
      <c r="B847" s="4"/>
      <c r="C847" s="4"/>
      <c r="D847" s="5"/>
      <c r="E847" s="4"/>
      <c r="F847" s="4"/>
      <c r="G847" s="6"/>
      <c r="H847" s="6"/>
      <c r="I847" s="6"/>
      <c r="J847" s="6"/>
    </row>
    <row r="848" spans="1:10" ht="13.5" thickBot="1">
      <c r="A848" s="4"/>
      <c r="B848" s="4"/>
      <c r="C848" s="4"/>
      <c r="D848" s="5"/>
      <c r="E848" s="4"/>
      <c r="F848" s="4"/>
      <c r="G848" s="6"/>
      <c r="H848" s="6"/>
      <c r="I848" s="6"/>
      <c r="J848" s="6"/>
    </row>
    <row r="849" spans="1:10" ht="13.5" thickBot="1">
      <c r="A849" s="4"/>
      <c r="B849" s="4"/>
      <c r="C849" s="4"/>
      <c r="D849" s="5"/>
      <c r="E849" s="4"/>
      <c r="F849" s="4"/>
      <c r="G849" s="6"/>
      <c r="H849" s="6"/>
      <c r="I849" s="6"/>
      <c r="J849" s="6"/>
    </row>
    <row r="850" spans="1:10" ht="13.5" thickBot="1">
      <c r="A850" s="4"/>
      <c r="B850" s="4"/>
      <c r="C850" s="4"/>
      <c r="D850" s="5"/>
      <c r="E850" s="4"/>
      <c r="F850" s="4"/>
      <c r="G850" s="6"/>
      <c r="H850" s="6"/>
      <c r="I850" s="6"/>
      <c r="J850" s="6"/>
    </row>
    <row r="851" spans="1:10" ht="13.5" thickBot="1">
      <c r="A851" s="4"/>
      <c r="B851" s="4"/>
      <c r="C851" s="4"/>
      <c r="D851" s="5"/>
      <c r="E851" s="4"/>
      <c r="F851" s="4"/>
      <c r="G851" s="6"/>
      <c r="H851" s="6"/>
      <c r="I851" s="6"/>
      <c r="J851" s="6"/>
    </row>
    <row r="852" spans="1:10" ht="13.5" thickBot="1">
      <c r="A852" s="4"/>
      <c r="B852" s="4"/>
      <c r="C852" s="4"/>
      <c r="D852" s="5"/>
      <c r="E852" s="4"/>
      <c r="F852" s="4"/>
      <c r="G852" s="6"/>
      <c r="H852" s="6"/>
      <c r="I852" s="6"/>
      <c r="J852" s="6"/>
    </row>
    <row r="853" spans="1:10" ht="13.5" thickBot="1">
      <c r="A853" s="4"/>
      <c r="B853" s="4"/>
      <c r="C853" s="4"/>
      <c r="D853" s="5"/>
      <c r="E853" s="4"/>
      <c r="F853" s="4"/>
      <c r="G853" s="6"/>
      <c r="H853" s="6"/>
      <c r="I853" s="6"/>
      <c r="J853" s="6"/>
    </row>
    <row r="854" spans="1:10" ht="13.5" thickBot="1">
      <c r="A854" s="4"/>
      <c r="B854" s="4"/>
      <c r="C854" s="4"/>
      <c r="D854" s="5"/>
      <c r="E854" s="4"/>
      <c r="F854" s="4"/>
      <c r="G854" s="6"/>
      <c r="H854" s="6"/>
      <c r="I854" s="6"/>
      <c r="J854" s="6"/>
    </row>
    <row r="855" spans="1:10" ht="13.5" thickBot="1">
      <c r="A855" s="4"/>
      <c r="B855" s="4"/>
      <c r="C855" s="4"/>
      <c r="D855" s="5"/>
      <c r="E855" s="4"/>
      <c r="F855" s="4"/>
      <c r="G855" s="6"/>
      <c r="H855" s="6"/>
      <c r="I855" s="6"/>
      <c r="J855" s="6"/>
    </row>
    <row r="856" spans="1:10" ht="13.5" thickBot="1">
      <c r="A856" s="4"/>
      <c r="B856" s="4"/>
      <c r="C856" s="4"/>
      <c r="D856" s="5"/>
      <c r="E856" s="4"/>
      <c r="F856" s="4"/>
      <c r="G856" s="6"/>
      <c r="H856" s="6"/>
      <c r="I856" s="6"/>
      <c r="J856" s="6"/>
    </row>
    <row r="857" spans="1:10" ht="13.5" thickBot="1">
      <c r="A857" s="4"/>
      <c r="B857" s="4"/>
      <c r="C857" s="4"/>
      <c r="D857" s="5"/>
      <c r="E857" s="4"/>
      <c r="F857" s="4"/>
      <c r="G857" s="6"/>
      <c r="H857" s="6"/>
      <c r="I857" s="6"/>
      <c r="J857" s="6"/>
    </row>
    <row r="858" spans="1:10" ht="13.5" thickBot="1">
      <c r="A858" s="4"/>
      <c r="B858" s="4"/>
      <c r="C858" s="4"/>
      <c r="D858" s="5"/>
      <c r="E858" s="4"/>
      <c r="F858" s="4"/>
      <c r="G858" s="6"/>
      <c r="H858" s="6"/>
      <c r="I858" s="6"/>
      <c r="J858" s="6"/>
    </row>
    <row r="859" spans="1:10" ht="13.5" thickBot="1">
      <c r="A859" s="4"/>
      <c r="B859" s="4"/>
      <c r="C859" s="4"/>
      <c r="D859" s="5"/>
      <c r="E859" s="4"/>
      <c r="F859" s="4"/>
      <c r="G859" s="6"/>
      <c r="H859" s="6"/>
      <c r="I859" s="6"/>
      <c r="J859" s="6"/>
    </row>
    <row r="860" spans="1:10" ht="13.5" thickBot="1">
      <c r="A860" s="4"/>
      <c r="B860" s="4"/>
      <c r="C860" s="4"/>
      <c r="D860" s="5"/>
      <c r="E860" s="4"/>
      <c r="F860" s="4"/>
      <c r="G860" s="6"/>
      <c r="H860" s="6"/>
      <c r="I860" s="6"/>
      <c r="J860" s="6"/>
    </row>
    <row r="861" spans="1:10" ht="13.5" thickBot="1">
      <c r="A861" s="4"/>
      <c r="B861" s="4"/>
      <c r="C861" s="4"/>
      <c r="D861" s="5"/>
      <c r="E861" s="4"/>
      <c r="F861" s="4"/>
      <c r="G861" s="6"/>
      <c r="H861" s="6"/>
      <c r="I861" s="6"/>
      <c r="J861" s="6"/>
    </row>
    <row r="862" spans="1:10" ht="13.5" thickBot="1">
      <c r="A862" s="4"/>
      <c r="B862" s="4"/>
      <c r="C862" s="4"/>
      <c r="D862" s="5"/>
      <c r="E862" s="4"/>
      <c r="F862" s="4"/>
      <c r="G862" s="6"/>
      <c r="H862" s="6"/>
      <c r="I862" s="6"/>
      <c r="J862" s="6"/>
    </row>
    <row r="863" spans="1:10" ht="13.5" thickBot="1">
      <c r="A863" s="4"/>
      <c r="B863" s="4"/>
      <c r="C863" s="4"/>
      <c r="D863" s="5"/>
      <c r="E863" s="4"/>
      <c r="F863" s="4"/>
      <c r="G863" s="6"/>
      <c r="H863" s="6"/>
      <c r="I863" s="6"/>
      <c r="J863" s="6"/>
    </row>
    <row r="864" spans="1:10" ht="13.5" thickBot="1">
      <c r="A864" s="4"/>
      <c r="B864" s="4"/>
      <c r="C864" s="4"/>
      <c r="D864" s="5"/>
      <c r="E864" s="4"/>
      <c r="F864" s="4"/>
      <c r="G864" s="6"/>
      <c r="H864" s="6"/>
      <c r="I864" s="6"/>
      <c r="J864" s="6"/>
    </row>
    <row r="865" spans="1:10" ht="13.5" thickBot="1">
      <c r="A865" s="4"/>
      <c r="B865" s="4"/>
      <c r="C865" s="4"/>
      <c r="D865" s="5"/>
      <c r="E865" s="4"/>
      <c r="F865" s="4"/>
      <c r="G865" s="6"/>
      <c r="H865" s="6"/>
      <c r="I865" s="6"/>
      <c r="J865" s="6"/>
    </row>
    <row r="866" spans="1:10" ht="13.5" thickBot="1">
      <c r="A866" s="4"/>
      <c r="B866" s="4"/>
      <c r="C866" s="4"/>
      <c r="D866" s="5"/>
      <c r="E866" s="4"/>
      <c r="F866" s="4"/>
      <c r="G866" s="6"/>
      <c r="H866" s="6"/>
      <c r="I866" s="6"/>
      <c r="J866" s="6"/>
    </row>
    <row r="867" spans="1:10" ht="13.5" thickBot="1">
      <c r="A867" s="4"/>
      <c r="B867" s="4"/>
      <c r="C867" s="4"/>
      <c r="D867" s="5"/>
      <c r="E867" s="4"/>
      <c r="F867" s="4"/>
      <c r="G867" s="6"/>
      <c r="H867" s="6"/>
      <c r="I867" s="6"/>
      <c r="J867" s="6"/>
    </row>
    <row r="868" spans="1:10" ht="13.5" thickBot="1">
      <c r="A868" s="4"/>
      <c r="B868" s="4"/>
      <c r="C868" s="4"/>
      <c r="D868" s="5"/>
      <c r="E868" s="4"/>
      <c r="F868" s="4"/>
      <c r="G868" s="6"/>
      <c r="H868" s="6"/>
      <c r="I868" s="6"/>
      <c r="J868" s="6"/>
    </row>
    <row r="869" spans="1:10" ht="13.5" thickBot="1">
      <c r="A869" s="4"/>
      <c r="B869" s="4"/>
      <c r="C869" s="4"/>
      <c r="D869" s="5"/>
      <c r="E869" s="4"/>
      <c r="F869" s="4"/>
      <c r="G869" s="6"/>
      <c r="H869" s="6"/>
      <c r="I869" s="6"/>
      <c r="J869" s="6"/>
    </row>
    <row r="870" spans="1:10" ht="13.5" thickBot="1">
      <c r="A870" s="4"/>
      <c r="B870" s="4"/>
      <c r="C870" s="4"/>
      <c r="D870" s="5"/>
      <c r="E870" s="4"/>
      <c r="F870" s="4"/>
      <c r="G870" s="6"/>
      <c r="H870" s="6"/>
      <c r="I870" s="6"/>
      <c r="J870" s="6"/>
    </row>
    <row r="871" spans="1:10" ht="13.5" thickBot="1">
      <c r="A871" s="4"/>
      <c r="B871" s="4"/>
      <c r="C871" s="4"/>
      <c r="D871" s="5"/>
      <c r="E871" s="4"/>
      <c r="F871" s="4"/>
      <c r="G871" s="6"/>
      <c r="H871" s="6"/>
      <c r="I871" s="6"/>
      <c r="J871" s="6"/>
    </row>
    <row r="872" spans="1:10" ht="13.5" thickBot="1">
      <c r="A872" s="4"/>
      <c r="B872" s="4"/>
      <c r="C872" s="4"/>
      <c r="D872" s="5"/>
      <c r="E872" s="4"/>
      <c r="F872" s="4"/>
      <c r="G872" s="6"/>
      <c r="H872" s="6"/>
      <c r="I872" s="6"/>
      <c r="J872" s="6"/>
    </row>
    <row r="873" spans="1:10" ht="13.5" thickBot="1">
      <c r="A873" s="4"/>
      <c r="B873" s="4"/>
      <c r="C873" s="4"/>
      <c r="D873" s="5"/>
      <c r="E873" s="4"/>
      <c r="F873" s="4"/>
      <c r="G873" s="6"/>
      <c r="H873" s="6"/>
      <c r="I873" s="6"/>
      <c r="J873" s="6"/>
    </row>
    <row r="874" spans="1:10" ht="13.5" thickBot="1">
      <c r="A874" s="4"/>
      <c r="B874" s="4"/>
      <c r="C874" s="4"/>
      <c r="D874" s="5"/>
      <c r="E874" s="4"/>
      <c r="F874" s="4"/>
      <c r="G874" s="6"/>
      <c r="H874" s="6"/>
      <c r="I874" s="6"/>
      <c r="J874" s="6"/>
    </row>
    <row r="875" spans="1:10" ht="13.5" thickBot="1">
      <c r="A875" s="4"/>
      <c r="B875" s="4"/>
      <c r="C875" s="4"/>
      <c r="D875" s="5"/>
      <c r="E875" s="4"/>
      <c r="F875" s="4"/>
      <c r="G875" s="6"/>
      <c r="H875" s="6"/>
      <c r="I875" s="6"/>
      <c r="J875" s="6"/>
    </row>
    <row r="876" spans="1:10" ht="13.5" thickBot="1">
      <c r="A876" s="4"/>
      <c r="B876" s="4"/>
      <c r="C876" s="4"/>
      <c r="D876" s="5"/>
      <c r="E876" s="4"/>
      <c r="F876" s="4"/>
      <c r="G876" s="6"/>
      <c r="H876" s="6"/>
      <c r="I876" s="6"/>
      <c r="J876" s="6"/>
    </row>
    <row r="877" spans="1:10" ht="13.5" thickBot="1">
      <c r="A877" s="4"/>
      <c r="B877" s="4"/>
      <c r="C877" s="4"/>
      <c r="D877" s="5"/>
      <c r="E877" s="4"/>
      <c r="F877" s="4"/>
      <c r="G877" s="6"/>
      <c r="H877" s="6"/>
      <c r="I877" s="6"/>
      <c r="J877" s="6"/>
    </row>
    <row r="878" spans="1:10" ht="13.5" thickBot="1">
      <c r="A878" s="4"/>
      <c r="B878" s="4"/>
      <c r="C878" s="4"/>
      <c r="D878" s="5"/>
      <c r="E878" s="4"/>
      <c r="F878" s="4"/>
      <c r="G878" s="6"/>
      <c r="H878" s="6"/>
      <c r="I878" s="6"/>
      <c r="J878" s="6"/>
    </row>
    <row r="879" spans="1:10" ht="13.5" thickBot="1">
      <c r="A879" s="4"/>
      <c r="B879" s="4"/>
      <c r="C879" s="4"/>
      <c r="D879" s="5"/>
      <c r="E879" s="4"/>
      <c r="F879" s="4"/>
      <c r="G879" s="6"/>
      <c r="H879" s="6"/>
      <c r="I879" s="6"/>
      <c r="J879" s="6"/>
    </row>
    <row r="880" spans="1:10" ht="13.5" thickBot="1">
      <c r="A880" s="4"/>
      <c r="B880" s="4"/>
      <c r="C880" s="4"/>
      <c r="D880" s="5"/>
      <c r="E880" s="4"/>
      <c r="F880" s="4"/>
      <c r="G880" s="6"/>
      <c r="H880" s="6"/>
      <c r="I880" s="6"/>
      <c r="J880" s="6"/>
    </row>
    <row r="881" spans="1:10" ht="13.5" thickBot="1">
      <c r="A881" s="4"/>
      <c r="B881" s="4"/>
      <c r="C881" s="4"/>
      <c r="D881" s="5"/>
      <c r="E881" s="4"/>
      <c r="F881" s="4"/>
      <c r="G881" s="6"/>
      <c r="H881" s="6"/>
      <c r="I881" s="6"/>
      <c r="J881" s="6"/>
    </row>
    <row r="882" spans="1:10" ht="13.5" thickBot="1">
      <c r="A882" s="4"/>
      <c r="B882" s="4"/>
      <c r="C882" s="4"/>
      <c r="D882" s="5"/>
      <c r="E882" s="4"/>
      <c r="F882" s="4"/>
      <c r="G882" s="6"/>
      <c r="H882" s="6"/>
      <c r="I882" s="6"/>
      <c r="J882" s="6"/>
    </row>
    <row r="883" spans="1:10" ht="13.5" thickBot="1">
      <c r="A883" s="4"/>
      <c r="B883" s="4"/>
      <c r="C883" s="4"/>
      <c r="D883" s="5"/>
      <c r="E883" s="4"/>
      <c r="F883" s="4"/>
      <c r="G883" s="6"/>
      <c r="H883" s="6"/>
      <c r="I883" s="6"/>
      <c r="J883" s="6"/>
    </row>
    <row r="884" spans="1:10" ht="13.5" thickBot="1">
      <c r="A884" s="4"/>
      <c r="B884" s="4"/>
      <c r="C884" s="4"/>
      <c r="D884" s="5"/>
      <c r="E884" s="4"/>
      <c r="F884" s="4"/>
      <c r="G884" s="6"/>
      <c r="H884" s="6"/>
      <c r="I884" s="6"/>
      <c r="J884" s="6"/>
    </row>
    <row r="885" spans="1:10" ht="13.5" thickBot="1">
      <c r="A885" s="4"/>
      <c r="B885" s="4"/>
      <c r="C885" s="4"/>
      <c r="D885" s="5"/>
      <c r="E885" s="4"/>
      <c r="F885" s="4"/>
      <c r="G885" s="6"/>
      <c r="H885" s="6"/>
      <c r="I885" s="6"/>
      <c r="J885" s="6"/>
    </row>
    <row r="886" spans="1:10" ht="13.5" thickBot="1">
      <c r="A886" s="4"/>
      <c r="B886" s="4"/>
      <c r="C886" s="4"/>
      <c r="D886" s="5"/>
      <c r="E886" s="4"/>
      <c r="F886" s="4"/>
      <c r="G886" s="6"/>
      <c r="H886" s="6"/>
      <c r="I886" s="6"/>
      <c r="J886" s="6"/>
    </row>
    <row r="887" spans="1:10" ht="13.5" thickBot="1">
      <c r="A887" s="4"/>
      <c r="B887" s="4"/>
      <c r="C887" s="4"/>
      <c r="D887" s="5"/>
      <c r="E887" s="4"/>
      <c r="F887" s="4"/>
      <c r="G887" s="6"/>
      <c r="H887" s="6"/>
      <c r="I887" s="6"/>
      <c r="J887" s="6"/>
    </row>
    <row r="888" spans="1:10" ht="13.5" thickBot="1">
      <c r="A888" s="4"/>
      <c r="B888" s="4"/>
      <c r="C888" s="4"/>
      <c r="D888" s="5"/>
      <c r="E888" s="4"/>
      <c r="F888" s="4"/>
      <c r="G888" s="6"/>
      <c r="H888" s="6"/>
      <c r="I888" s="6"/>
      <c r="J888" s="6"/>
    </row>
    <row r="889" spans="1:10" ht="13.5" thickBot="1">
      <c r="A889" s="4"/>
      <c r="B889" s="4"/>
      <c r="C889" s="4"/>
      <c r="D889" s="5"/>
      <c r="E889" s="4"/>
      <c r="F889" s="4"/>
      <c r="G889" s="6"/>
      <c r="H889" s="6"/>
      <c r="I889" s="6"/>
      <c r="J889" s="6"/>
    </row>
    <row r="890" spans="1:10" ht="13.5" thickBot="1">
      <c r="A890" s="4"/>
      <c r="B890" s="4"/>
      <c r="C890" s="4"/>
      <c r="D890" s="5"/>
      <c r="E890" s="4"/>
      <c r="F890" s="4"/>
      <c r="G890" s="6"/>
      <c r="H890" s="6"/>
      <c r="I890" s="6"/>
      <c r="J890" s="6"/>
    </row>
    <row r="891" spans="1:10" ht="13.5" thickBot="1">
      <c r="A891" s="4"/>
      <c r="B891" s="4"/>
      <c r="C891" s="4"/>
      <c r="D891" s="5"/>
      <c r="E891" s="4"/>
      <c r="F891" s="4"/>
      <c r="G891" s="6"/>
      <c r="H891" s="6"/>
      <c r="I891" s="6"/>
      <c r="J891" s="6"/>
    </row>
    <row r="892" spans="1:10" ht="13.5" thickBot="1">
      <c r="A892" s="4"/>
      <c r="B892" s="4"/>
      <c r="C892" s="4"/>
      <c r="D892" s="5"/>
      <c r="E892" s="4"/>
      <c r="F892" s="4"/>
      <c r="G892" s="6"/>
      <c r="H892" s="6"/>
      <c r="I892" s="6"/>
      <c r="J892" s="6"/>
    </row>
    <row r="893" spans="1:10" ht="13.5" thickBot="1">
      <c r="A893" s="4"/>
      <c r="B893" s="4"/>
      <c r="C893" s="4"/>
      <c r="D893" s="5"/>
      <c r="E893" s="4"/>
      <c r="F893" s="4"/>
      <c r="G893" s="6"/>
      <c r="H893" s="6"/>
      <c r="I893" s="6"/>
      <c r="J893" s="6"/>
    </row>
    <row r="894" spans="1:10" ht="13.5" thickBot="1">
      <c r="A894" s="4"/>
      <c r="B894" s="4"/>
      <c r="C894" s="4"/>
      <c r="D894" s="5"/>
      <c r="E894" s="4"/>
      <c r="F894" s="4"/>
      <c r="G894" s="6"/>
      <c r="H894" s="6"/>
      <c r="I894" s="6"/>
      <c r="J894" s="6"/>
    </row>
    <row r="895" spans="1:10" ht="13.5" thickBot="1">
      <c r="A895" s="4"/>
      <c r="B895" s="4"/>
      <c r="C895" s="4"/>
      <c r="D895" s="5"/>
      <c r="E895" s="4"/>
      <c r="F895" s="4"/>
      <c r="G895" s="6"/>
      <c r="H895" s="6"/>
      <c r="I895" s="6"/>
      <c r="J895" s="6"/>
    </row>
    <row r="896" spans="1:10" ht="13.5" thickBot="1">
      <c r="A896" s="4"/>
      <c r="B896" s="4"/>
      <c r="C896" s="4"/>
      <c r="D896" s="5"/>
      <c r="E896" s="4"/>
      <c r="F896" s="4"/>
      <c r="G896" s="6"/>
      <c r="H896" s="6"/>
      <c r="I896" s="6"/>
      <c r="J896" s="6"/>
    </row>
    <row r="897" spans="1:10" ht="13.5" thickBot="1">
      <c r="A897" s="4"/>
      <c r="B897" s="4"/>
      <c r="C897" s="4"/>
      <c r="D897" s="5"/>
      <c r="E897" s="4"/>
      <c r="F897" s="4"/>
      <c r="G897" s="6"/>
      <c r="H897" s="6"/>
      <c r="I897" s="6"/>
      <c r="J897" s="6"/>
    </row>
    <row r="898" spans="1:10" ht="13.5" thickBot="1">
      <c r="A898" s="4"/>
      <c r="B898" s="4"/>
      <c r="C898" s="4"/>
      <c r="D898" s="5"/>
      <c r="E898" s="4"/>
      <c r="F898" s="4"/>
      <c r="G898" s="6"/>
      <c r="H898" s="6"/>
      <c r="I898" s="6"/>
      <c r="J898" s="6"/>
    </row>
    <row r="899" spans="1:10" ht="13.5" thickBot="1">
      <c r="A899" s="4"/>
      <c r="B899" s="4"/>
      <c r="C899" s="4"/>
      <c r="D899" s="5"/>
      <c r="E899" s="4"/>
      <c r="F899" s="4"/>
      <c r="G899" s="6"/>
      <c r="H899" s="6"/>
      <c r="I899" s="6"/>
      <c r="J899" s="6"/>
    </row>
    <row r="900" spans="1:10" ht="13.5" thickBot="1">
      <c r="A900" s="4"/>
      <c r="B900" s="4"/>
      <c r="C900" s="4"/>
      <c r="D900" s="5"/>
      <c r="E900" s="4"/>
      <c r="F900" s="4"/>
      <c r="G900" s="6"/>
      <c r="H900" s="6"/>
      <c r="I900" s="6"/>
      <c r="J900" s="6"/>
    </row>
    <row r="901" spans="1:10" ht="13.5" thickBot="1">
      <c r="A901" s="4"/>
      <c r="B901" s="4"/>
      <c r="C901" s="4"/>
      <c r="D901" s="5"/>
      <c r="E901" s="4"/>
      <c r="F901" s="4"/>
      <c r="G901" s="6"/>
      <c r="H901" s="6"/>
      <c r="I901" s="6"/>
      <c r="J901" s="6"/>
    </row>
    <row r="902" spans="1:10" ht="13.5" thickBot="1">
      <c r="A902" s="4"/>
      <c r="B902" s="4"/>
      <c r="C902" s="4"/>
      <c r="D902" s="5"/>
      <c r="E902" s="4"/>
      <c r="F902" s="4"/>
      <c r="G902" s="6"/>
      <c r="H902" s="6"/>
      <c r="I902" s="6"/>
      <c r="J902" s="6"/>
    </row>
    <row r="903" spans="1:10" ht="13.5" thickBot="1">
      <c r="A903" s="4"/>
      <c r="B903" s="4"/>
      <c r="C903" s="4"/>
      <c r="D903" s="5"/>
      <c r="E903" s="4"/>
      <c r="F903" s="4"/>
      <c r="G903" s="6"/>
      <c r="H903" s="6"/>
      <c r="I903" s="6"/>
      <c r="J903" s="6"/>
    </row>
    <row r="904" spans="1:10" ht="13.5" thickBot="1">
      <c r="A904" s="4"/>
      <c r="B904" s="4"/>
      <c r="C904" s="4"/>
      <c r="D904" s="5"/>
      <c r="E904" s="4"/>
      <c r="F904" s="4"/>
      <c r="G904" s="6"/>
      <c r="H904" s="6"/>
      <c r="I904" s="6"/>
      <c r="J904" s="6"/>
    </row>
    <row r="905" spans="1:10" ht="13.5" thickBot="1">
      <c r="A905" s="4"/>
      <c r="B905" s="4"/>
      <c r="C905" s="4"/>
      <c r="D905" s="5"/>
      <c r="E905" s="4"/>
      <c r="F905" s="4"/>
      <c r="G905" s="6"/>
      <c r="H905" s="6"/>
      <c r="I905" s="6"/>
      <c r="J905" s="6"/>
    </row>
    <row r="906" spans="1:10" ht="13.5" thickBot="1">
      <c r="A906" s="4"/>
      <c r="B906" s="4"/>
      <c r="C906" s="4"/>
      <c r="D906" s="5"/>
      <c r="E906" s="4"/>
      <c r="F906" s="4"/>
      <c r="G906" s="6"/>
      <c r="H906" s="6"/>
      <c r="I906" s="6"/>
      <c r="J906" s="6"/>
    </row>
    <row r="907" spans="1:10" ht="13.5" thickBot="1">
      <c r="A907" s="4"/>
      <c r="B907" s="4"/>
      <c r="C907" s="4"/>
      <c r="D907" s="5"/>
      <c r="E907" s="4"/>
      <c r="F907" s="4"/>
      <c r="G907" s="6"/>
      <c r="H907" s="6"/>
      <c r="I907" s="6"/>
      <c r="J907" s="6"/>
    </row>
    <row r="908" spans="1:10" ht="13.5" thickBot="1">
      <c r="A908" s="4"/>
      <c r="B908" s="4"/>
      <c r="C908" s="4"/>
      <c r="D908" s="5"/>
      <c r="E908" s="4"/>
      <c r="F908" s="4"/>
      <c r="G908" s="6"/>
      <c r="H908" s="6"/>
      <c r="I908" s="6"/>
      <c r="J908" s="6"/>
    </row>
    <row r="909" spans="1:10" ht="13.5" thickBot="1">
      <c r="A909" s="4"/>
      <c r="B909" s="4"/>
      <c r="C909" s="4"/>
      <c r="D909" s="5"/>
      <c r="E909" s="4"/>
      <c r="F909" s="4"/>
      <c r="G909" s="6"/>
      <c r="H909" s="6"/>
      <c r="I909" s="6"/>
      <c r="J909" s="6"/>
    </row>
    <row r="910" spans="1:10" ht="13.5" thickBot="1">
      <c r="A910" s="4"/>
      <c r="B910" s="4"/>
      <c r="C910" s="4"/>
      <c r="D910" s="5"/>
      <c r="E910" s="4"/>
      <c r="F910" s="4"/>
      <c r="G910" s="6"/>
      <c r="H910" s="6"/>
      <c r="I910" s="6"/>
      <c r="J910" s="6"/>
    </row>
    <row r="911" spans="1:10" ht="13.5" thickBot="1">
      <c r="A911" s="4"/>
      <c r="B911" s="4"/>
      <c r="C911" s="4"/>
      <c r="D911" s="5"/>
      <c r="E911" s="4"/>
      <c r="F911" s="4"/>
      <c r="G911" s="6"/>
      <c r="H911" s="6"/>
      <c r="I911" s="6"/>
      <c r="J911" s="6"/>
    </row>
    <row r="912" spans="1:10" ht="13.5" thickBot="1">
      <c r="A912" s="4"/>
      <c r="B912" s="4"/>
      <c r="C912" s="4"/>
      <c r="D912" s="5"/>
      <c r="E912" s="4"/>
      <c r="F912" s="4"/>
      <c r="G912" s="6"/>
      <c r="H912" s="6"/>
      <c r="I912" s="6"/>
      <c r="J912" s="6"/>
    </row>
    <row r="913" spans="1:10" ht="13.5" thickBot="1">
      <c r="A913" s="4"/>
      <c r="B913" s="4"/>
      <c r="C913" s="4"/>
      <c r="D913" s="5"/>
      <c r="E913" s="4"/>
      <c r="F913" s="4"/>
      <c r="G913" s="6"/>
      <c r="H913" s="6"/>
      <c r="I913" s="6"/>
      <c r="J913" s="6"/>
    </row>
    <row r="914" spans="1:10" ht="13.5" thickBot="1">
      <c r="A914" s="4"/>
      <c r="B914" s="4"/>
      <c r="C914" s="4"/>
      <c r="D914" s="5"/>
      <c r="E914" s="4"/>
      <c r="F914" s="4"/>
      <c r="G914" s="6"/>
      <c r="H914" s="6"/>
      <c r="I914" s="6"/>
      <c r="J914" s="6"/>
    </row>
    <row r="915" spans="1:10" ht="13.5" thickBot="1">
      <c r="A915" s="4"/>
      <c r="B915" s="4"/>
      <c r="C915" s="4"/>
      <c r="D915" s="5"/>
      <c r="E915" s="4"/>
      <c r="F915" s="4"/>
      <c r="G915" s="6"/>
      <c r="H915" s="6"/>
      <c r="I915" s="6"/>
      <c r="J915" s="6"/>
    </row>
    <row r="916" spans="1:10" ht="13.5" thickBot="1">
      <c r="A916" s="4"/>
      <c r="B916" s="4"/>
      <c r="C916" s="4"/>
      <c r="D916" s="5"/>
      <c r="E916" s="4"/>
      <c r="F916" s="4"/>
      <c r="G916" s="6"/>
      <c r="H916" s="6"/>
      <c r="I916" s="6"/>
      <c r="J916" s="6"/>
    </row>
    <row r="917" spans="1:10" ht="13.5" thickBot="1">
      <c r="A917" s="4"/>
      <c r="B917" s="4"/>
      <c r="C917" s="4"/>
      <c r="D917" s="5"/>
      <c r="E917" s="4"/>
      <c r="F917" s="4"/>
      <c r="G917" s="6"/>
      <c r="H917" s="6"/>
      <c r="I917" s="6"/>
      <c r="J917" s="6"/>
    </row>
    <row r="918" spans="1:10" ht="13.5" thickBot="1">
      <c r="A918" s="4"/>
      <c r="B918" s="4"/>
      <c r="C918" s="4"/>
      <c r="D918" s="5"/>
      <c r="E918" s="4"/>
      <c r="F918" s="4"/>
      <c r="G918" s="6"/>
      <c r="H918" s="6"/>
      <c r="I918" s="6"/>
      <c r="J918" s="6"/>
    </row>
    <row r="919" spans="1:10" ht="13.5" thickBot="1">
      <c r="A919" s="4"/>
      <c r="B919" s="4"/>
      <c r="C919" s="4"/>
      <c r="D919" s="5"/>
      <c r="E919" s="4"/>
      <c r="F919" s="4"/>
      <c r="G919" s="6"/>
      <c r="H919" s="6"/>
      <c r="I919" s="6"/>
      <c r="J919" s="6"/>
    </row>
    <row r="920" spans="1:10" ht="13.5" thickBot="1">
      <c r="A920" s="4"/>
      <c r="B920" s="4"/>
      <c r="C920" s="4"/>
      <c r="D920" s="5"/>
      <c r="E920" s="4"/>
      <c r="F920" s="4"/>
      <c r="G920" s="6"/>
      <c r="H920" s="6"/>
      <c r="I920" s="6"/>
      <c r="J920" s="6"/>
    </row>
    <row r="921" spans="1:10" ht="13.5" thickBot="1">
      <c r="A921" s="4"/>
      <c r="B921" s="4"/>
      <c r="C921" s="4"/>
      <c r="D921" s="5"/>
      <c r="E921" s="4"/>
      <c r="F921" s="4"/>
      <c r="G921" s="6"/>
      <c r="H921" s="6"/>
      <c r="I921" s="6"/>
      <c r="J921" s="6"/>
    </row>
    <row r="922" spans="1:10" ht="13.5" thickBot="1">
      <c r="A922" s="4"/>
      <c r="B922" s="4"/>
      <c r="C922" s="4"/>
      <c r="D922" s="5"/>
      <c r="E922" s="4"/>
      <c r="F922" s="4"/>
      <c r="G922" s="6"/>
      <c r="H922" s="6"/>
      <c r="I922" s="6"/>
      <c r="J922" s="6"/>
    </row>
    <row r="923" spans="1:10" ht="13.5" thickBot="1">
      <c r="A923" s="4"/>
      <c r="B923" s="4"/>
      <c r="C923" s="4"/>
      <c r="D923" s="5"/>
      <c r="E923" s="4"/>
      <c r="F923" s="4"/>
      <c r="G923" s="6"/>
      <c r="H923" s="6"/>
      <c r="I923" s="6"/>
      <c r="J923" s="6"/>
    </row>
    <row r="924" spans="1:10" ht="13.5" thickBot="1">
      <c r="A924" s="4"/>
      <c r="B924" s="4"/>
      <c r="C924" s="4"/>
      <c r="D924" s="5"/>
      <c r="E924" s="4"/>
      <c r="F924" s="4"/>
      <c r="G924" s="6"/>
      <c r="H924" s="6"/>
      <c r="I924" s="6"/>
      <c r="J924" s="6"/>
    </row>
    <row r="925" spans="1:10" ht="13.5" thickBot="1">
      <c r="A925" s="4"/>
      <c r="B925" s="4"/>
      <c r="C925" s="4"/>
      <c r="D925" s="5"/>
      <c r="E925" s="4"/>
      <c r="F925" s="4"/>
      <c r="G925" s="6"/>
      <c r="H925" s="6"/>
      <c r="I925" s="6"/>
      <c r="J925" s="6"/>
    </row>
    <row r="926" spans="1:10" ht="13.5" thickBot="1">
      <c r="A926" s="4"/>
      <c r="B926" s="4"/>
      <c r="C926" s="4"/>
      <c r="D926" s="5"/>
      <c r="E926" s="4"/>
      <c r="F926" s="4"/>
      <c r="G926" s="6"/>
      <c r="H926" s="6"/>
      <c r="I926" s="6"/>
      <c r="J926" s="6"/>
    </row>
    <row r="927" spans="1:10" ht="13.5" thickBot="1">
      <c r="A927" s="4"/>
      <c r="B927" s="4"/>
      <c r="C927" s="4"/>
      <c r="D927" s="5"/>
      <c r="E927" s="4"/>
      <c r="F927" s="4"/>
      <c r="G927" s="6"/>
      <c r="H927" s="6"/>
      <c r="I927" s="6"/>
      <c r="J927" s="6"/>
    </row>
    <row r="928" spans="1:10" ht="13.5" thickBot="1">
      <c r="A928" s="4"/>
      <c r="B928" s="4"/>
      <c r="C928" s="4"/>
      <c r="D928" s="5"/>
      <c r="E928" s="4"/>
      <c r="F928" s="4"/>
      <c r="G928" s="6"/>
      <c r="H928" s="6"/>
      <c r="I928" s="6"/>
      <c r="J928" s="6"/>
    </row>
    <row r="929" spans="1:10" ht="13.5" thickBot="1">
      <c r="A929" s="4"/>
      <c r="B929" s="4"/>
      <c r="C929" s="4"/>
      <c r="D929" s="5"/>
      <c r="E929" s="4"/>
      <c r="F929" s="4"/>
      <c r="G929" s="6"/>
      <c r="H929" s="6"/>
      <c r="I929" s="6"/>
      <c r="J929" s="6"/>
    </row>
    <row r="930" spans="1:10" ht="13.5" thickBot="1">
      <c r="A930" s="4"/>
      <c r="B930" s="4"/>
      <c r="C930" s="4"/>
      <c r="D930" s="5"/>
      <c r="E930" s="4"/>
      <c r="F930" s="4"/>
      <c r="G930" s="6"/>
      <c r="H930" s="6"/>
      <c r="I930" s="6"/>
      <c r="J930" s="6"/>
    </row>
    <row r="931" spans="1:10" ht="13.5" thickBot="1">
      <c r="A931" s="4"/>
      <c r="B931" s="4"/>
      <c r="C931" s="4"/>
      <c r="D931" s="5"/>
      <c r="E931" s="4"/>
      <c r="F931" s="4"/>
      <c r="G931" s="6"/>
      <c r="H931" s="6"/>
      <c r="I931" s="6"/>
      <c r="J931" s="6"/>
    </row>
    <row r="932" spans="1:10" ht="13.5" thickBot="1">
      <c r="A932" s="4"/>
      <c r="B932" s="4"/>
      <c r="C932" s="4"/>
      <c r="D932" s="5"/>
      <c r="E932" s="4"/>
      <c r="F932" s="4"/>
      <c r="G932" s="6"/>
      <c r="H932" s="6"/>
      <c r="I932" s="6"/>
      <c r="J932" s="6"/>
    </row>
    <row r="933" spans="1:10" ht="13.5" thickBot="1">
      <c r="A933" s="4"/>
      <c r="B933" s="4"/>
      <c r="C933" s="4"/>
      <c r="D933" s="5"/>
      <c r="E933" s="4"/>
      <c r="F933" s="4"/>
      <c r="G933" s="6"/>
      <c r="H933" s="6"/>
      <c r="I933" s="6"/>
      <c r="J933" s="6"/>
    </row>
    <row r="934" spans="1:10" ht="13.5" thickBot="1">
      <c r="A934" s="4"/>
      <c r="B934" s="4"/>
      <c r="C934" s="4"/>
      <c r="D934" s="5"/>
      <c r="E934" s="4"/>
      <c r="F934" s="4"/>
      <c r="G934" s="6"/>
      <c r="H934" s="6"/>
      <c r="I934" s="6"/>
      <c r="J934" s="6"/>
    </row>
    <row r="935" spans="1:10" ht="13.5" thickBot="1">
      <c r="A935" s="4"/>
      <c r="B935" s="4"/>
      <c r="C935" s="4"/>
      <c r="D935" s="5"/>
      <c r="E935" s="4"/>
      <c r="F935" s="4"/>
      <c r="G935" s="6"/>
      <c r="H935" s="6"/>
      <c r="I935" s="6"/>
      <c r="J935" s="6"/>
    </row>
    <row r="936" spans="1:10" ht="13.5" thickBot="1">
      <c r="A936" s="4"/>
      <c r="B936" s="4"/>
      <c r="C936" s="4"/>
      <c r="D936" s="5"/>
      <c r="E936" s="4"/>
      <c r="F936" s="4"/>
      <c r="G936" s="6"/>
      <c r="H936" s="6"/>
      <c r="I936" s="6"/>
      <c r="J936" s="6"/>
    </row>
    <row r="937" spans="1:10" ht="13.5" thickBot="1">
      <c r="A937" s="4"/>
      <c r="B937" s="4"/>
      <c r="C937" s="4"/>
      <c r="D937" s="5"/>
      <c r="E937" s="4"/>
      <c r="F937" s="4"/>
      <c r="G937" s="6"/>
      <c r="H937" s="6"/>
      <c r="I937" s="6"/>
      <c r="J937" s="6"/>
    </row>
    <row r="938" spans="1:10" ht="13.5" thickBot="1">
      <c r="A938" s="4"/>
      <c r="B938" s="4"/>
      <c r="C938" s="4"/>
      <c r="D938" s="5"/>
      <c r="E938" s="4"/>
      <c r="F938" s="4"/>
      <c r="G938" s="6"/>
      <c r="H938" s="6"/>
      <c r="I938" s="6"/>
      <c r="J938" s="6"/>
    </row>
    <row r="939" spans="1:10" ht="13.5" thickBot="1">
      <c r="A939" s="4"/>
      <c r="B939" s="4"/>
      <c r="C939" s="4"/>
      <c r="D939" s="5"/>
      <c r="E939" s="4"/>
      <c r="F939" s="4"/>
      <c r="G939" s="6"/>
      <c r="H939" s="6"/>
      <c r="I939" s="6"/>
      <c r="J939" s="6"/>
    </row>
    <row r="940" spans="1:10" ht="13.5" thickBot="1">
      <c r="A940" s="4"/>
      <c r="B940" s="4"/>
      <c r="C940" s="4"/>
      <c r="D940" s="5"/>
      <c r="E940" s="4"/>
      <c r="F940" s="4"/>
      <c r="G940" s="6"/>
      <c r="H940" s="6"/>
      <c r="I940" s="6"/>
      <c r="J940" s="6"/>
    </row>
    <row r="941" spans="1:10" ht="13.5" thickBot="1">
      <c r="A941" s="4"/>
      <c r="B941" s="4"/>
      <c r="C941" s="4"/>
      <c r="D941" s="5"/>
      <c r="E941" s="4"/>
      <c r="F941" s="4"/>
      <c r="G941" s="6"/>
      <c r="H941" s="6"/>
      <c r="I941" s="6"/>
      <c r="J941" s="6"/>
    </row>
    <row r="942" spans="1:10" ht="13.5" thickBot="1">
      <c r="A942" s="4"/>
      <c r="B942" s="4"/>
      <c r="C942" s="4"/>
      <c r="D942" s="5"/>
      <c r="E942" s="4"/>
      <c r="F942" s="4"/>
      <c r="G942" s="6"/>
      <c r="H942" s="6"/>
      <c r="I942" s="6"/>
      <c r="J942" s="6"/>
    </row>
    <row r="943" spans="1:10" ht="13.5" thickBot="1">
      <c r="A943" s="4"/>
      <c r="B943" s="4"/>
      <c r="C943" s="4"/>
      <c r="D943" s="5"/>
      <c r="E943" s="4"/>
      <c r="F943" s="4"/>
      <c r="G943" s="6"/>
      <c r="H943" s="6"/>
      <c r="I943" s="6"/>
      <c r="J943" s="6"/>
    </row>
    <row r="944" spans="1:10" ht="13.5" thickBot="1">
      <c r="A944" s="4"/>
      <c r="B944" s="4"/>
      <c r="C944" s="4"/>
      <c r="D944" s="5"/>
      <c r="E944" s="4"/>
      <c r="F944" s="4"/>
      <c r="G944" s="6"/>
      <c r="H944" s="6"/>
      <c r="I944" s="6"/>
      <c r="J944" s="6"/>
    </row>
    <row r="945" spans="1:10" ht="13.5" thickBot="1">
      <c r="A945" s="4"/>
      <c r="B945" s="4"/>
      <c r="C945" s="4"/>
      <c r="D945" s="5"/>
      <c r="E945" s="4"/>
      <c r="F945" s="4"/>
      <c r="G945" s="6"/>
      <c r="H945" s="6"/>
      <c r="I945" s="6"/>
      <c r="J945" s="6"/>
    </row>
    <row r="946" spans="1:10" ht="13.5" thickBot="1">
      <c r="A946" s="4"/>
      <c r="B946" s="4"/>
      <c r="C946" s="4"/>
      <c r="D946" s="5"/>
      <c r="E946" s="4"/>
      <c r="F946" s="4"/>
      <c r="G946" s="6"/>
      <c r="H946" s="6"/>
      <c r="I946" s="6"/>
      <c r="J946" s="6"/>
    </row>
    <row r="947" spans="1:10" ht="13.5" thickBot="1">
      <c r="A947" s="4"/>
      <c r="B947" s="4"/>
      <c r="C947" s="4"/>
      <c r="D947" s="5"/>
      <c r="E947" s="4"/>
      <c r="F947" s="4"/>
      <c r="G947" s="6"/>
      <c r="H947" s="6"/>
      <c r="I947" s="6"/>
      <c r="J947" s="6"/>
    </row>
    <row r="948" spans="1:10" ht="13.5" thickBot="1">
      <c r="A948" s="4"/>
      <c r="B948" s="4"/>
      <c r="C948" s="4"/>
      <c r="D948" s="5"/>
      <c r="E948" s="4"/>
      <c r="F948" s="4"/>
      <c r="G948" s="6"/>
      <c r="H948" s="6"/>
      <c r="I948" s="6"/>
      <c r="J948" s="6"/>
    </row>
    <row r="949" spans="1:10" ht="13.5" thickBot="1">
      <c r="A949" s="4"/>
      <c r="B949" s="4"/>
      <c r="C949" s="4"/>
      <c r="D949" s="5"/>
      <c r="E949" s="4"/>
      <c r="F949" s="4"/>
      <c r="G949" s="6"/>
      <c r="H949" s="6"/>
      <c r="I949" s="6"/>
      <c r="J949" s="6"/>
    </row>
    <row r="950" spans="1:10" ht="13.5" thickBot="1">
      <c r="A950" s="4"/>
      <c r="B950" s="4"/>
      <c r="C950" s="4"/>
      <c r="D950" s="5"/>
      <c r="E950" s="4"/>
      <c r="F950" s="4"/>
      <c r="G950" s="6"/>
      <c r="H950" s="6"/>
      <c r="I950" s="6"/>
      <c r="J950" s="6"/>
    </row>
    <row r="951" spans="1:10" ht="13.5" thickBot="1">
      <c r="A951" s="4"/>
      <c r="B951" s="4"/>
      <c r="C951" s="4"/>
      <c r="D951" s="5"/>
      <c r="E951" s="4"/>
      <c r="F951" s="4"/>
      <c r="G951" s="6"/>
      <c r="H951" s="6"/>
      <c r="I951" s="6"/>
      <c r="J951" s="6"/>
    </row>
    <row r="952" spans="1:10" ht="13.5" thickBot="1">
      <c r="A952" s="4"/>
      <c r="B952" s="4"/>
      <c r="C952" s="4"/>
      <c r="D952" s="5"/>
      <c r="E952" s="4"/>
      <c r="F952" s="4"/>
      <c r="G952" s="6"/>
      <c r="H952" s="6"/>
      <c r="I952" s="6"/>
      <c r="J952" s="6"/>
    </row>
    <row r="953" spans="1:10" ht="13.5" thickBot="1">
      <c r="A953" s="4"/>
      <c r="B953" s="4"/>
      <c r="C953" s="4"/>
      <c r="D953" s="5"/>
      <c r="E953" s="4"/>
      <c r="F953" s="4"/>
      <c r="G953" s="6"/>
      <c r="H953" s="6"/>
      <c r="I953" s="6"/>
      <c r="J953" s="6"/>
    </row>
    <row r="954" spans="1:10" ht="13.5" thickBot="1">
      <c r="A954" s="4"/>
      <c r="B954" s="4"/>
      <c r="C954" s="4"/>
      <c r="D954" s="5"/>
      <c r="E954" s="4"/>
      <c r="F954" s="4"/>
      <c r="G954" s="6"/>
      <c r="H954" s="6"/>
      <c r="I954" s="6"/>
      <c r="J954" s="6"/>
    </row>
    <row r="955" spans="1:10" ht="13.5" thickBot="1">
      <c r="A955" s="4"/>
      <c r="B955" s="4"/>
      <c r="C955" s="4"/>
      <c r="D955" s="5"/>
      <c r="E955" s="4"/>
      <c r="F955" s="4"/>
      <c r="G955" s="6"/>
      <c r="H955" s="6"/>
      <c r="I955" s="6"/>
      <c r="J955" s="6"/>
    </row>
    <row r="956" spans="1:10" ht="13.5" thickBot="1">
      <c r="A956" s="4"/>
      <c r="B956" s="4"/>
      <c r="C956" s="4"/>
      <c r="D956" s="5"/>
      <c r="E956" s="4"/>
      <c r="F956" s="4"/>
      <c r="G956" s="6"/>
      <c r="H956" s="6"/>
      <c r="I956" s="6"/>
      <c r="J956" s="6"/>
    </row>
    <row r="957" spans="1:10" ht="13.5" thickBot="1">
      <c r="A957" s="4"/>
      <c r="B957" s="4"/>
      <c r="C957" s="4"/>
      <c r="D957" s="5"/>
      <c r="E957" s="4"/>
      <c r="F957" s="4"/>
      <c r="G957" s="6"/>
      <c r="H957" s="6"/>
      <c r="I957" s="6"/>
      <c r="J957" s="6"/>
    </row>
    <row r="958" spans="1:10" ht="13.5" thickBot="1">
      <c r="A958" s="4"/>
      <c r="B958" s="4"/>
      <c r="C958" s="4"/>
      <c r="D958" s="5"/>
      <c r="E958" s="4"/>
      <c r="F958" s="4"/>
      <c r="G958" s="6"/>
      <c r="H958" s="6"/>
      <c r="I958" s="6"/>
      <c r="J958" s="6"/>
    </row>
    <row r="959" spans="1:10" ht="13.5" thickBot="1">
      <c r="A959" s="4"/>
      <c r="B959" s="4"/>
      <c r="C959" s="4"/>
      <c r="D959" s="5"/>
      <c r="E959" s="4"/>
      <c r="F959" s="4"/>
      <c r="G959" s="6"/>
      <c r="H959" s="6"/>
      <c r="I959" s="6"/>
      <c r="J959" s="6"/>
    </row>
    <row r="960" spans="1:10" ht="13.5" thickBot="1">
      <c r="A960" s="4"/>
      <c r="B960" s="4"/>
      <c r="C960" s="4"/>
      <c r="D960" s="5"/>
      <c r="E960" s="4"/>
      <c r="F960" s="4"/>
      <c r="G960" s="6"/>
      <c r="H960" s="6"/>
      <c r="I960" s="6"/>
      <c r="J960" s="6"/>
    </row>
    <row r="961" spans="1:10" ht="13.5" thickBot="1">
      <c r="A961" s="4"/>
      <c r="B961" s="4"/>
      <c r="C961" s="4"/>
      <c r="D961" s="5"/>
      <c r="E961" s="4"/>
      <c r="F961" s="4"/>
      <c r="G961" s="6"/>
      <c r="H961" s="6"/>
      <c r="I961" s="6"/>
      <c r="J961" s="6"/>
    </row>
    <row r="962" spans="1:10" ht="13.5" thickBot="1">
      <c r="A962" s="4"/>
      <c r="B962" s="4"/>
      <c r="C962" s="4"/>
      <c r="D962" s="5"/>
      <c r="E962" s="4"/>
      <c r="F962" s="4"/>
      <c r="G962" s="6"/>
      <c r="H962" s="6"/>
      <c r="I962" s="6"/>
      <c r="J962" s="6"/>
    </row>
    <row r="963" spans="1:10" ht="13.5" thickBot="1">
      <c r="A963" s="4"/>
      <c r="B963" s="4"/>
      <c r="C963" s="4"/>
      <c r="D963" s="5"/>
      <c r="E963" s="4"/>
      <c r="F963" s="4"/>
      <c r="G963" s="6"/>
      <c r="H963" s="6"/>
      <c r="I963" s="6"/>
      <c r="J963" s="6"/>
    </row>
    <row r="964" spans="1:10" ht="13.5" thickBot="1">
      <c r="A964" s="4"/>
      <c r="B964" s="4"/>
      <c r="C964" s="4"/>
      <c r="D964" s="5"/>
      <c r="E964" s="4"/>
      <c r="F964" s="4"/>
      <c r="G964" s="6"/>
      <c r="H964" s="6"/>
      <c r="I964" s="6"/>
      <c r="J964" s="6"/>
    </row>
    <row r="965" spans="1:10" ht="13.5" thickBot="1">
      <c r="A965" s="4"/>
      <c r="B965" s="4"/>
      <c r="C965" s="4"/>
      <c r="D965" s="5"/>
      <c r="E965" s="4"/>
      <c r="F965" s="4"/>
      <c r="G965" s="6"/>
      <c r="H965" s="6"/>
      <c r="I965" s="6"/>
      <c r="J965" s="6"/>
    </row>
    <row r="966" spans="1:10" ht="13.5" thickBot="1">
      <c r="A966" s="4"/>
      <c r="B966" s="4"/>
      <c r="C966" s="4"/>
      <c r="D966" s="5"/>
      <c r="E966" s="4"/>
      <c r="F966" s="4"/>
      <c r="G966" s="6"/>
      <c r="H966" s="6"/>
      <c r="I966" s="6"/>
      <c r="J966" s="6"/>
    </row>
    <row r="967" spans="1:10" ht="13.5" thickBot="1">
      <c r="A967" s="4"/>
      <c r="B967" s="4"/>
      <c r="C967" s="4"/>
      <c r="D967" s="5"/>
      <c r="E967" s="4"/>
      <c r="F967" s="4"/>
      <c r="G967" s="6"/>
      <c r="H967" s="6"/>
      <c r="I967" s="6"/>
      <c r="J967" s="6"/>
    </row>
    <row r="968" spans="1:10" ht="13.5" thickBot="1">
      <c r="A968" s="4"/>
      <c r="B968" s="4"/>
      <c r="C968" s="4"/>
      <c r="D968" s="5"/>
      <c r="E968" s="4"/>
      <c r="F968" s="4"/>
      <c r="G968" s="6"/>
      <c r="H968" s="6"/>
      <c r="I968" s="6"/>
      <c r="J968" s="6"/>
    </row>
    <row r="969" spans="1:10" ht="13.5" thickBot="1">
      <c r="A969" s="4"/>
      <c r="B969" s="4"/>
      <c r="C969" s="4"/>
      <c r="D969" s="5"/>
      <c r="E969" s="4"/>
      <c r="F969" s="4"/>
      <c r="G969" s="6"/>
      <c r="H969" s="6"/>
      <c r="I969" s="6"/>
      <c r="J969" s="6"/>
    </row>
    <row r="970" spans="1:10" ht="13.5" thickBot="1">
      <c r="A970" s="4"/>
      <c r="B970" s="4"/>
      <c r="C970" s="4"/>
      <c r="D970" s="5"/>
      <c r="E970" s="4"/>
      <c r="F970" s="4"/>
      <c r="G970" s="6"/>
      <c r="H970" s="6"/>
      <c r="I970" s="6"/>
      <c r="J970" s="6"/>
    </row>
    <row r="971" spans="1:10" ht="13.5" thickBot="1">
      <c r="A971" s="4"/>
      <c r="B971" s="4"/>
      <c r="C971" s="4"/>
      <c r="D971" s="5"/>
      <c r="E971" s="4"/>
      <c r="F971" s="4"/>
      <c r="G971" s="6"/>
      <c r="H971" s="6"/>
      <c r="I971" s="6"/>
      <c r="J971" s="6"/>
    </row>
    <row r="972" spans="1:10" ht="13.5" thickBot="1">
      <c r="A972" s="4"/>
      <c r="B972" s="4"/>
      <c r="C972" s="4"/>
      <c r="D972" s="5"/>
      <c r="E972" s="4"/>
      <c r="F972" s="4"/>
      <c r="G972" s="6"/>
      <c r="H972" s="6"/>
      <c r="I972" s="6"/>
      <c r="J972" s="6"/>
    </row>
    <row r="973" spans="1:10" ht="13.5" thickBot="1">
      <c r="A973" s="4"/>
      <c r="B973" s="4"/>
      <c r="C973" s="4"/>
      <c r="D973" s="5"/>
      <c r="E973" s="4"/>
      <c r="F973" s="4"/>
      <c r="G973" s="6"/>
      <c r="H973" s="6"/>
      <c r="I973" s="6"/>
      <c r="J973" s="6"/>
    </row>
    <row r="974" spans="1:10" ht="13.5" thickBot="1">
      <c r="A974" s="4"/>
      <c r="B974" s="4"/>
      <c r="C974" s="4"/>
      <c r="D974" s="5"/>
      <c r="E974" s="4"/>
      <c r="F974" s="4"/>
      <c r="G974" s="6"/>
      <c r="H974" s="6"/>
      <c r="I974" s="6"/>
      <c r="J974" s="6"/>
    </row>
    <row r="975" spans="1:10" ht="13.5" thickBot="1">
      <c r="A975" s="4"/>
      <c r="B975" s="4"/>
      <c r="C975" s="4"/>
      <c r="D975" s="5"/>
      <c r="E975" s="4"/>
      <c r="F975" s="4"/>
      <c r="G975" s="6"/>
      <c r="H975" s="6"/>
      <c r="I975" s="6"/>
      <c r="J975" s="6"/>
    </row>
    <row r="976" spans="1:10" ht="13.5" thickBot="1">
      <c r="A976" s="4"/>
      <c r="B976" s="4"/>
      <c r="C976" s="4"/>
      <c r="D976" s="5"/>
      <c r="E976" s="4"/>
      <c r="F976" s="4"/>
      <c r="G976" s="6"/>
      <c r="H976" s="6"/>
      <c r="I976" s="6"/>
      <c r="J976" s="6"/>
    </row>
    <row r="977" spans="1:10" ht="13.5" thickBot="1">
      <c r="A977" s="4"/>
      <c r="B977" s="4"/>
      <c r="C977" s="4"/>
      <c r="D977" s="5"/>
      <c r="E977" s="4"/>
      <c r="F977" s="4"/>
      <c r="G977" s="6"/>
      <c r="H977" s="6"/>
      <c r="I977" s="6"/>
      <c r="J977" s="6"/>
    </row>
    <row r="978" spans="1:10" ht="13.5" thickBot="1">
      <c r="A978" s="4"/>
      <c r="B978" s="4"/>
      <c r="C978" s="4"/>
      <c r="D978" s="5"/>
      <c r="E978" s="4"/>
      <c r="F978" s="4"/>
      <c r="G978" s="6"/>
      <c r="H978" s="6"/>
      <c r="I978" s="6"/>
      <c r="J978" s="6"/>
    </row>
    <row r="979" spans="1:10" ht="13.5" thickBot="1">
      <c r="A979" s="4"/>
      <c r="B979" s="4"/>
      <c r="C979" s="4"/>
      <c r="D979" s="5"/>
      <c r="E979" s="4"/>
      <c r="F979" s="4"/>
      <c r="G979" s="6"/>
      <c r="H979" s="6"/>
      <c r="I979" s="6"/>
      <c r="J979" s="6"/>
    </row>
    <row r="980" spans="1:10" ht="13.5" thickBot="1">
      <c r="A980" s="4"/>
      <c r="B980" s="4"/>
      <c r="C980" s="4"/>
      <c r="D980" s="5"/>
      <c r="E980" s="4"/>
      <c r="F980" s="4"/>
      <c r="G980" s="6"/>
      <c r="H980" s="6"/>
      <c r="I980" s="6"/>
      <c r="J980" s="6"/>
    </row>
    <row r="981" spans="1:10" ht="13.5" thickBot="1">
      <c r="A981" s="4"/>
      <c r="B981" s="4"/>
      <c r="C981" s="4"/>
      <c r="D981" s="5"/>
      <c r="E981" s="4"/>
      <c r="F981" s="4"/>
      <c r="G981" s="6"/>
      <c r="H981" s="6"/>
      <c r="I981" s="6"/>
      <c r="J981" s="6"/>
    </row>
    <row r="982" spans="1:10" ht="13.5" thickBot="1">
      <c r="A982" s="4"/>
      <c r="B982" s="4"/>
      <c r="C982" s="4"/>
      <c r="D982" s="5"/>
      <c r="E982" s="4"/>
      <c r="F982" s="4"/>
      <c r="G982" s="6"/>
      <c r="H982" s="6"/>
      <c r="I982" s="6"/>
      <c r="J982" s="6"/>
    </row>
    <row r="983" spans="1:10" ht="13.5" thickBot="1">
      <c r="A983" s="4"/>
      <c r="B983" s="4"/>
      <c r="C983" s="4"/>
      <c r="D983" s="5"/>
      <c r="E983" s="4"/>
      <c r="F983" s="4"/>
      <c r="G983" s="6"/>
      <c r="H983" s="6"/>
      <c r="I983" s="6"/>
      <c r="J983" s="6"/>
    </row>
    <row r="984" spans="1:10" ht="13.5" thickBot="1">
      <c r="A984" s="4"/>
      <c r="B984" s="4"/>
      <c r="C984" s="4"/>
      <c r="D984" s="5"/>
      <c r="E984" s="4"/>
      <c r="F984" s="4"/>
      <c r="G984" s="6"/>
      <c r="H984" s="6"/>
      <c r="I984" s="6"/>
      <c r="J984" s="6"/>
    </row>
    <row r="985" spans="1:10" ht="13.5" thickBot="1">
      <c r="A985" s="4"/>
      <c r="B985" s="4"/>
      <c r="C985" s="4"/>
      <c r="D985" s="5"/>
      <c r="E985" s="4"/>
      <c r="F985" s="4"/>
      <c r="G985" s="6"/>
      <c r="H985" s="6"/>
      <c r="I985" s="6"/>
      <c r="J985" s="6"/>
    </row>
    <row r="986" spans="1:10" ht="13.5" thickBot="1">
      <c r="A986" s="4"/>
      <c r="B986" s="4"/>
      <c r="C986" s="4"/>
      <c r="D986" s="5"/>
      <c r="E986" s="4"/>
      <c r="F986" s="4"/>
      <c r="G986" s="6"/>
      <c r="H986" s="6"/>
      <c r="I986" s="6"/>
      <c r="J986" s="6"/>
    </row>
    <row r="987" spans="1:10" ht="13.5" thickBot="1">
      <c r="A987" s="4"/>
      <c r="B987" s="4"/>
      <c r="C987" s="4"/>
      <c r="D987" s="5"/>
      <c r="E987" s="4"/>
      <c r="F987" s="4"/>
      <c r="G987" s="6"/>
      <c r="H987" s="6"/>
      <c r="I987" s="6"/>
      <c r="J987" s="6"/>
    </row>
    <row r="988" spans="1:10" ht="13.5" thickBot="1">
      <c r="A988" s="4"/>
      <c r="B988" s="4"/>
      <c r="C988" s="4"/>
      <c r="D988" s="5"/>
      <c r="E988" s="4"/>
      <c r="F988" s="4"/>
      <c r="G988" s="6"/>
      <c r="H988" s="6"/>
      <c r="I988" s="6"/>
      <c r="J988" s="6"/>
    </row>
    <row r="989" spans="1:10" ht="13.5" thickBot="1">
      <c r="A989" s="4"/>
      <c r="B989" s="4"/>
      <c r="C989" s="4"/>
      <c r="D989" s="5"/>
      <c r="E989" s="4"/>
      <c r="F989" s="4"/>
      <c r="G989" s="6"/>
      <c r="H989" s="6"/>
      <c r="I989" s="6"/>
      <c r="J989" s="6"/>
    </row>
    <row r="990" spans="1:10" ht="13.5" thickBot="1">
      <c r="A990" s="4"/>
      <c r="B990" s="4"/>
      <c r="C990" s="4"/>
      <c r="D990" s="5"/>
      <c r="E990" s="4"/>
      <c r="F990" s="4"/>
      <c r="G990" s="6"/>
      <c r="H990" s="6"/>
      <c r="I990" s="6"/>
      <c r="J990" s="6"/>
    </row>
    <row r="991" spans="1:10" ht="13.5" thickBot="1">
      <c r="A991" s="4"/>
      <c r="B991" s="4"/>
      <c r="C991" s="4"/>
      <c r="D991" s="5"/>
      <c r="E991" s="4"/>
      <c r="F991" s="4"/>
      <c r="G991" s="6"/>
      <c r="H991" s="6"/>
      <c r="I991" s="6"/>
      <c r="J991" s="6"/>
    </row>
    <row r="992" spans="1:10" ht="13.5" thickBot="1">
      <c r="A992" s="4"/>
      <c r="B992" s="4"/>
      <c r="C992" s="4"/>
      <c r="D992" s="5"/>
      <c r="E992" s="4"/>
      <c r="F992" s="4"/>
      <c r="G992" s="6"/>
      <c r="H992" s="6"/>
      <c r="I992" s="6"/>
      <c r="J992" s="6"/>
    </row>
    <row r="993" spans="1:10" ht="13.5" thickBot="1">
      <c r="A993" s="4"/>
      <c r="B993" s="4"/>
      <c r="C993" s="4"/>
      <c r="D993" s="5"/>
      <c r="E993" s="4"/>
      <c r="F993" s="4"/>
      <c r="G993" s="6"/>
      <c r="H993" s="6"/>
      <c r="I993" s="6"/>
      <c r="J993" s="6"/>
    </row>
    <row r="994" spans="1:10" ht="13.5" thickBot="1">
      <c r="A994" s="4"/>
      <c r="B994" s="4"/>
      <c r="C994" s="4"/>
      <c r="D994" s="5"/>
      <c r="E994" s="4"/>
      <c r="F994" s="4"/>
      <c r="G994" s="6"/>
      <c r="H994" s="6"/>
      <c r="I994" s="6"/>
      <c r="J994" s="6"/>
    </row>
    <row r="995" spans="1:10" ht="13.5" thickBot="1">
      <c r="A995" s="4"/>
      <c r="B995" s="4"/>
      <c r="C995" s="4"/>
      <c r="D995" s="5"/>
      <c r="E995" s="4"/>
      <c r="F995" s="4"/>
      <c r="G995" s="6"/>
      <c r="H995" s="6"/>
      <c r="I995" s="6"/>
      <c r="J995" s="6"/>
    </row>
    <row r="996" spans="1:10" ht="13.5" thickBot="1">
      <c r="A996" s="4"/>
      <c r="B996" s="4"/>
      <c r="C996" s="4"/>
      <c r="D996" s="5"/>
      <c r="E996" s="4"/>
      <c r="F996" s="4"/>
      <c r="G996" s="6"/>
      <c r="H996" s="6"/>
      <c r="I996" s="6"/>
      <c r="J996" s="6"/>
    </row>
    <row r="997" spans="1:10" ht="13.5" thickBot="1">
      <c r="A997" s="4"/>
      <c r="B997" s="4"/>
      <c r="C997" s="4"/>
      <c r="D997" s="5"/>
      <c r="E997" s="4"/>
      <c r="F997" s="4"/>
      <c r="G997" s="6"/>
      <c r="H997" s="6"/>
      <c r="I997" s="6"/>
      <c r="J997" s="6"/>
    </row>
    <row r="998" spans="1:10" ht="13.5" thickBot="1">
      <c r="A998" s="4"/>
      <c r="B998" s="4"/>
      <c r="C998" s="4"/>
      <c r="D998" s="5"/>
      <c r="E998" s="4"/>
      <c r="F998" s="4"/>
      <c r="G998" s="6"/>
      <c r="H998" s="6"/>
      <c r="I998" s="6"/>
      <c r="J998" s="6"/>
    </row>
    <row r="999" spans="1:10" ht="13.5" thickBot="1">
      <c r="A999" s="4"/>
      <c r="B999" s="4"/>
      <c r="C999" s="4"/>
      <c r="D999" s="5"/>
      <c r="E999" s="4"/>
      <c r="F999" s="4"/>
      <c r="G999" s="6"/>
      <c r="H999" s="6"/>
      <c r="I999" s="6"/>
      <c r="J999" s="6"/>
    </row>
    <row r="1000" spans="1:10" ht="13.5" thickBot="1">
      <c r="A1000" s="4"/>
      <c r="B1000" s="4"/>
      <c r="C1000" s="4"/>
      <c r="D1000" s="5"/>
      <c r="E1000" s="4"/>
      <c r="F1000" s="4"/>
      <c r="G1000" s="6"/>
      <c r="H1000" s="6"/>
      <c r="I1000" s="6"/>
      <c r="J1000" s="6"/>
    </row>
    <row r="1001" spans="1:10" ht="13.5" thickBot="1">
      <c r="A1001" s="4"/>
      <c r="B1001" s="4"/>
      <c r="C1001" s="4"/>
      <c r="D1001" s="5"/>
      <c r="E1001" s="4"/>
      <c r="F1001" s="4"/>
      <c r="G1001" s="6"/>
      <c r="H1001" s="6"/>
      <c r="I1001" s="6"/>
      <c r="J1001" s="6"/>
    </row>
    <row r="1002" spans="1:10" ht="13.5" thickBot="1">
      <c r="A1002" s="4"/>
      <c r="B1002" s="4"/>
      <c r="C1002" s="4"/>
      <c r="D1002" s="5"/>
      <c r="E1002" s="4"/>
      <c r="F1002" s="4"/>
      <c r="G1002" s="6"/>
      <c r="H1002" s="6"/>
      <c r="I1002" s="6"/>
      <c r="J1002" s="6"/>
    </row>
    <row r="1003" spans="1:10" ht="13.5" thickBot="1">
      <c r="A1003" s="4"/>
      <c r="B1003" s="4"/>
      <c r="C1003" s="4"/>
      <c r="D1003" s="5"/>
      <c r="E1003" s="4"/>
      <c r="F1003" s="4"/>
      <c r="G1003" s="6"/>
      <c r="H1003" s="6"/>
      <c r="I1003" s="6"/>
      <c r="J1003" s="6"/>
    </row>
    <row r="1004" spans="1:10" ht="13.5" thickBot="1">
      <c r="A1004" s="4"/>
      <c r="B1004" s="4"/>
      <c r="C1004" s="4"/>
      <c r="D1004" s="5"/>
      <c r="E1004" s="4"/>
      <c r="F1004" s="4"/>
      <c r="G1004" s="6"/>
      <c r="H1004" s="6"/>
      <c r="I1004" s="6"/>
      <c r="J1004" s="6"/>
    </row>
    <row r="1005" spans="1:10" ht="13.5" thickBot="1">
      <c r="A1005" s="4"/>
      <c r="B1005" s="4"/>
      <c r="C1005" s="4"/>
      <c r="D1005" s="5"/>
      <c r="E1005" s="4"/>
      <c r="F1005" s="4"/>
      <c r="G1005" s="6"/>
      <c r="H1005" s="6"/>
      <c r="I1005" s="6"/>
      <c r="J1005" s="6"/>
    </row>
    <row r="1006" spans="1:10" ht="13.5" thickBot="1">
      <c r="A1006" s="4"/>
      <c r="B1006" s="4"/>
      <c r="C1006" s="4"/>
      <c r="D1006" s="5"/>
      <c r="E1006" s="4"/>
      <c r="F1006" s="4"/>
      <c r="G1006" s="6"/>
      <c r="H1006" s="6"/>
      <c r="I1006" s="6"/>
      <c r="J1006" s="6"/>
    </row>
    <row r="1007" spans="1:10" ht="13.5" thickBot="1">
      <c r="A1007" s="4"/>
      <c r="B1007" s="4"/>
      <c r="C1007" s="4"/>
      <c r="D1007" s="5"/>
      <c r="E1007" s="4"/>
      <c r="F1007" s="4"/>
      <c r="G1007" s="6"/>
      <c r="H1007" s="6"/>
      <c r="I1007" s="6"/>
      <c r="J1007" s="6"/>
    </row>
    <row r="1008" spans="1:10" ht="13.5" thickBot="1">
      <c r="A1008" s="4"/>
      <c r="B1008" s="4"/>
      <c r="C1008" s="4"/>
      <c r="D1008" s="5"/>
      <c r="E1008" s="4"/>
      <c r="F1008" s="4"/>
      <c r="G1008" s="6"/>
      <c r="H1008" s="6"/>
      <c r="I1008" s="6"/>
      <c r="J1008" s="6"/>
    </row>
    <row r="1009" spans="1:10" ht="13.5" thickBot="1">
      <c r="A1009" s="4"/>
      <c r="B1009" s="4"/>
      <c r="C1009" s="4"/>
      <c r="D1009" s="5"/>
      <c r="E1009" s="4"/>
      <c r="F1009" s="4"/>
      <c r="G1009" s="6"/>
      <c r="H1009" s="6"/>
      <c r="I1009" s="6"/>
      <c r="J1009" s="6"/>
    </row>
    <row r="1010" spans="1:10" ht="13.5" thickBot="1">
      <c r="A1010" s="4"/>
      <c r="B1010" s="4"/>
      <c r="C1010" s="4"/>
      <c r="D1010" s="5"/>
      <c r="E1010" s="4"/>
      <c r="F1010" s="4"/>
      <c r="G1010" s="6"/>
      <c r="H1010" s="6"/>
      <c r="I1010" s="6"/>
      <c r="J1010" s="6"/>
    </row>
    <row r="1011" spans="1:10" ht="13.5" thickBot="1">
      <c r="A1011" s="4"/>
      <c r="B1011" s="4"/>
      <c r="C1011" s="4"/>
      <c r="D1011" s="5"/>
      <c r="E1011" s="4"/>
      <c r="F1011" s="4"/>
      <c r="G1011" s="6"/>
      <c r="H1011" s="6"/>
      <c r="I1011" s="6"/>
      <c r="J1011" s="6"/>
    </row>
    <row r="1012" spans="1:10" ht="13.5" thickBot="1">
      <c r="A1012" s="4"/>
      <c r="B1012" s="4"/>
      <c r="C1012" s="4"/>
      <c r="D1012" s="5"/>
      <c r="E1012" s="4"/>
      <c r="F1012" s="4"/>
      <c r="G1012" s="6"/>
      <c r="H1012" s="6"/>
      <c r="I1012" s="6"/>
      <c r="J1012" s="6"/>
    </row>
    <row r="1013" spans="1:10" ht="13.5" thickBot="1">
      <c r="A1013" s="4"/>
      <c r="B1013" s="4"/>
      <c r="C1013" s="4"/>
      <c r="D1013" s="5"/>
      <c r="E1013" s="4"/>
      <c r="F1013" s="4"/>
      <c r="G1013" s="6"/>
      <c r="H1013" s="6"/>
      <c r="I1013" s="6"/>
      <c r="J1013" s="6"/>
    </row>
    <row r="1014" spans="1:10" ht="13.5" thickBot="1">
      <c r="A1014" s="4"/>
      <c r="B1014" s="4"/>
      <c r="C1014" s="4"/>
      <c r="D1014" s="5"/>
      <c r="E1014" s="4"/>
      <c r="F1014" s="4"/>
      <c r="G1014" s="6"/>
      <c r="H1014" s="6"/>
      <c r="I1014" s="6"/>
      <c r="J1014" s="6"/>
    </row>
    <row r="1015" spans="1:10" ht="13.5" thickBot="1">
      <c r="A1015" s="4"/>
      <c r="B1015" s="4"/>
      <c r="C1015" s="4"/>
      <c r="D1015" s="5"/>
      <c r="E1015" s="4"/>
      <c r="F1015" s="4"/>
      <c r="G1015" s="6"/>
      <c r="H1015" s="6"/>
      <c r="I1015" s="6"/>
      <c r="J1015" s="6"/>
    </row>
    <row r="1016" spans="1:10" ht="13.5" thickBot="1">
      <c r="A1016" s="4"/>
      <c r="B1016" s="4"/>
      <c r="C1016" s="4"/>
      <c r="D1016" s="5"/>
      <c r="E1016" s="4"/>
      <c r="F1016" s="4"/>
      <c r="G1016" s="6"/>
      <c r="H1016" s="6"/>
      <c r="I1016" s="6"/>
      <c r="J1016" s="6"/>
    </row>
    <row r="1017" spans="1:10" ht="13.5" thickBot="1">
      <c r="A1017" s="4"/>
      <c r="B1017" s="4"/>
      <c r="C1017" s="4"/>
      <c r="D1017" s="5"/>
      <c r="E1017" s="4"/>
      <c r="F1017" s="4"/>
      <c r="G1017" s="6"/>
      <c r="H1017" s="6"/>
      <c r="I1017" s="6"/>
      <c r="J1017" s="6"/>
    </row>
    <row r="1018" spans="1:10" ht="13.5" thickBot="1">
      <c r="A1018" s="4"/>
      <c r="B1018" s="4"/>
      <c r="C1018" s="4"/>
      <c r="D1018" s="5"/>
      <c r="E1018" s="4"/>
      <c r="F1018" s="4"/>
      <c r="G1018" s="6"/>
      <c r="H1018" s="6"/>
      <c r="I1018" s="6"/>
      <c r="J1018" s="6"/>
    </row>
    <row r="1019" spans="1:10" ht="13.5" thickBot="1">
      <c r="A1019" s="4"/>
      <c r="B1019" s="4"/>
      <c r="C1019" s="4"/>
      <c r="D1019" s="5"/>
      <c r="E1019" s="4"/>
      <c r="F1019" s="4"/>
      <c r="G1019" s="6"/>
      <c r="H1019" s="6"/>
      <c r="I1019" s="6"/>
      <c r="J1019" s="6"/>
    </row>
    <row r="1020" spans="1:10" ht="13.5" thickBot="1">
      <c r="A1020" s="4"/>
      <c r="B1020" s="4"/>
      <c r="C1020" s="4"/>
      <c r="D1020" s="5"/>
      <c r="E1020" s="4"/>
      <c r="F1020" s="4"/>
      <c r="G1020" s="6"/>
      <c r="H1020" s="6"/>
      <c r="I1020" s="6"/>
      <c r="J1020" s="6"/>
    </row>
    <row r="1021" spans="1:10" ht="13.5" thickBot="1">
      <c r="A1021" s="4"/>
      <c r="B1021" s="4"/>
      <c r="C1021" s="4"/>
      <c r="D1021" s="5"/>
      <c r="E1021" s="4"/>
      <c r="F1021" s="4"/>
      <c r="G1021" s="6"/>
      <c r="H1021" s="6"/>
      <c r="I1021" s="6"/>
      <c r="J1021" s="6"/>
    </row>
    <row r="1022" spans="1:10" ht="13.5" thickBot="1">
      <c r="A1022" s="4"/>
      <c r="B1022" s="4"/>
      <c r="C1022" s="4"/>
      <c r="D1022" s="5"/>
      <c r="E1022" s="4"/>
      <c r="F1022" s="4"/>
      <c r="G1022" s="6"/>
      <c r="H1022" s="6"/>
      <c r="I1022" s="6"/>
      <c r="J1022" s="6"/>
    </row>
    <row r="1023" spans="1:10" ht="13.5" thickBot="1">
      <c r="A1023" s="4"/>
      <c r="B1023" s="4"/>
      <c r="C1023" s="4"/>
      <c r="D1023" s="5"/>
      <c r="E1023" s="4"/>
      <c r="F1023" s="4"/>
      <c r="G1023" s="6"/>
      <c r="H1023" s="6"/>
      <c r="I1023" s="6"/>
      <c r="J1023" s="6"/>
    </row>
    <row r="1024" spans="1:10" ht="13.5" thickBot="1">
      <c r="A1024" s="4"/>
      <c r="B1024" s="4"/>
      <c r="C1024" s="4"/>
      <c r="D1024" s="5"/>
      <c r="E1024" s="4"/>
      <c r="F1024" s="4"/>
      <c r="G1024" s="6"/>
      <c r="H1024" s="6"/>
      <c r="I1024" s="6"/>
      <c r="J1024" s="6"/>
    </row>
    <row r="1025" spans="1:10" ht="13.5" thickBot="1">
      <c r="A1025" s="4"/>
      <c r="B1025" s="4"/>
      <c r="C1025" s="4"/>
      <c r="D1025" s="5"/>
      <c r="E1025" s="4"/>
      <c r="F1025" s="4"/>
      <c r="G1025" s="6"/>
      <c r="H1025" s="6"/>
      <c r="I1025" s="6"/>
      <c r="J1025" s="6"/>
    </row>
    <row r="1026" spans="1:10" ht="13.5" thickBot="1">
      <c r="A1026" s="4"/>
      <c r="B1026" s="4"/>
      <c r="C1026" s="4"/>
      <c r="D1026" s="5"/>
      <c r="E1026" s="4"/>
      <c r="F1026" s="4"/>
      <c r="G1026" s="6"/>
      <c r="H1026" s="6"/>
      <c r="I1026" s="6"/>
      <c r="J1026" s="6"/>
    </row>
    <row r="1027" spans="1:10" ht="13.5" thickBot="1">
      <c r="A1027" s="4"/>
      <c r="B1027" s="4"/>
      <c r="C1027" s="4"/>
      <c r="D1027" s="5"/>
      <c r="E1027" s="4"/>
      <c r="F1027" s="4"/>
      <c r="G1027" s="6"/>
      <c r="H1027" s="6"/>
      <c r="I1027" s="6"/>
      <c r="J1027" s="6"/>
    </row>
    <row r="1028" spans="1:10" ht="13.5" thickBot="1">
      <c r="A1028" s="4"/>
      <c r="B1028" s="4"/>
      <c r="C1028" s="4"/>
      <c r="D1028" s="5"/>
      <c r="E1028" s="4"/>
      <c r="F1028" s="4"/>
      <c r="G1028" s="6"/>
      <c r="H1028" s="6"/>
      <c r="I1028" s="6"/>
      <c r="J1028" s="6"/>
    </row>
    <row r="1029" spans="1:10" ht="13.5" thickBot="1">
      <c r="A1029" s="4"/>
      <c r="B1029" s="4"/>
      <c r="C1029" s="4"/>
      <c r="D1029" s="5"/>
      <c r="E1029" s="4"/>
      <c r="F1029" s="4"/>
      <c r="G1029" s="6"/>
      <c r="H1029" s="6"/>
      <c r="I1029" s="6"/>
      <c r="J1029" s="6"/>
    </row>
    <row r="1030" spans="1:10" ht="13.5" thickBot="1">
      <c r="A1030" s="4"/>
      <c r="B1030" s="4"/>
      <c r="C1030" s="4"/>
      <c r="D1030" s="5"/>
      <c r="E1030" s="4"/>
      <c r="F1030" s="4"/>
      <c r="G1030" s="6"/>
      <c r="H1030" s="6"/>
      <c r="I1030" s="6"/>
      <c r="J1030" s="6"/>
    </row>
    <row r="1031" spans="1:10" ht="13.5" thickBot="1">
      <c r="A1031" s="4"/>
      <c r="B1031" s="4"/>
      <c r="C1031" s="4"/>
      <c r="D1031" s="5"/>
      <c r="E1031" s="4"/>
      <c r="F1031" s="4"/>
      <c r="G1031" s="6"/>
      <c r="H1031" s="6"/>
      <c r="I1031" s="6"/>
      <c r="J1031" s="6"/>
    </row>
    <row r="1032" spans="1:10" ht="13.5" thickBot="1">
      <c r="A1032" s="4"/>
      <c r="B1032" s="4"/>
      <c r="C1032" s="4"/>
      <c r="D1032" s="5"/>
      <c r="E1032" s="4"/>
      <c r="F1032" s="4"/>
      <c r="G1032" s="6"/>
      <c r="H1032" s="6"/>
      <c r="I1032" s="6"/>
      <c r="J1032" s="6"/>
    </row>
    <row r="1033" spans="1:10" ht="13.5" thickBot="1">
      <c r="A1033" s="4"/>
      <c r="B1033" s="4"/>
      <c r="C1033" s="4"/>
      <c r="D1033" s="5"/>
      <c r="E1033" s="4"/>
      <c r="F1033" s="4"/>
      <c r="G1033" s="6"/>
      <c r="H1033" s="6"/>
      <c r="I1033" s="6"/>
      <c r="J1033" s="6"/>
    </row>
    <row r="1034" spans="1:10" ht="13.5" thickBot="1">
      <c r="A1034" s="4"/>
      <c r="B1034" s="4"/>
      <c r="C1034" s="4"/>
      <c r="D1034" s="5"/>
      <c r="E1034" s="4"/>
      <c r="F1034" s="4"/>
      <c r="G1034" s="6"/>
      <c r="H1034" s="6"/>
      <c r="I1034" s="6"/>
      <c r="J1034" s="6"/>
    </row>
    <row r="1035" spans="1:10" ht="13.5" thickBot="1">
      <c r="A1035" s="4"/>
      <c r="B1035" s="4"/>
      <c r="C1035" s="4"/>
      <c r="D1035" s="5"/>
      <c r="E1035" s="4"/>
      <c r="F1035" s="4"/>
      <c r="G1035" s="6"/>
      <c r="H1035" s="6"/>
      <c r="I1035" s="6"/>
      <c r="J1035" s="6"/>
    </row>
    <row r="1036" spans="1:10" ht="13.5" thickBot="1">
      <c r="A1036" s="4"/>
      <c r="B1036" s="4"/>
      <c r="C1036" s="4"/>
      <c r="D1036" s="5"/>
      <c r="E1036" s="4"/>
      <c r="F1036" s="4"/>
      <c r="G1036" s="6"/>
      <c r="H1036" s="6"/>
      <c r="I1036" s="6"/>
      <c r="J1036" s="6"/>
    </row>
    <row r="1037" spans="1:10" ht="13.5" thickBot="1">
      <c r="A1037" s="4"/>
      <c r="B1037" s="4"/>
      <c r="C1037" s="4"/>
      <c r="D1037" s="5"/>
      <c r="E1037" s="4"/>
      <c r="F1037" s="4"/>
      <c r="G1037" s="6"/>
      <c r="H1037" s="6"/>
      <c r="I1037" s="6"/>
      <c r="J1037" s="6"/>
    </row>
    <row r="1038" spans="1:10" ht="13.5" thickBot="1">
      <c r="A1038" s="4"/>
      <c r="B1038" s="4"/>
      <c r="C1038" s="4"/>
      <c r="D1038" s="5"/>
      <c r="E1038" s="4"/>
      <c r="F1038" s="4"/>
      <c r="G1038" s="6"/>
      <c r="H1038" s="6"/>
      <c r="I1038" s="6"/>
      <c r="J1038" s="6"/>
    </row>
    <row r="1039" spans="1:10" ht="13.5" thickBot="1">
      <c r="A1039" s="4"/>
      <c r="B1039" s="4"/>
      <c r="C1039" s="4"/>
      <c r="D1039" s="5"/>
      <c r="E1039" s="4"/>
      <c r="F1039" s="4"/>
      <c r="G1039" s="6"/>
      <c r="H1039" s="6"/>
      <c r="I1039" s="6"/>
      <c r="J1039" s="6"/>
    </row>
    <row r="1040" spans="1:10" ht="13.5" thickBot="1">
      <c r="A1040" s="4"/>
      <c r="B1040" s="4"/>
      <c r="C1040" s="4"/>
      <c r="D1040" s="5"/>
      <c r="E1040" s="4"/>
      <c r="F1040" s="4"/>
      <c r="G1040" s="6"/>
      <c r="H1040" s="6"/>
      <c r="I1040" s="6"/>
      <c r="J1040" s="6"/>
    </row>
    <row r="1041" spans="1:10" ht="13.5" thickBot="1">
      <c r="A1041" s="4"/>
      <c r="B1041" s="4"/>
      <c r="C1041" s="4"/>
      <c r="D1041" s="5"/>
      <c r="E1041" s="4"/>
      <c r="F1041" s="4"/>
      <c r="G1041" s="6"/>
      <c r="H1041" s="6"/>
      <c r="I1041" s="6"/>
      <c r="J1041" s="6"/>
    </row>
    <row r="1042" spans="1:10" ht="13.5" thickBot="1">
      <c r="A1042" s="4"/>
      <c r="B1042" s="4"/>
      <c r="C1042" s="4"/>
      <c r="D1042" s="5"/>
      <c r="E1042" s="4"/>
      <c r="F1042" s="4"/>
      <c r="G1042" s="6"/>
      <c r="H1042" s="6"/>
      <c r="I1042" s="6"/>
      <c r="J1042" s="6"/>
    </row>
    <row r="1043" spans="1:10" ht="13.5" thickBot="1">
      <c r="A1043" s="4"/>
      <c r="B1043" s="4"/>
      <c r="C1043" s="4"/>
      <c r="D1043" s="5"/>
      <c r="E1043" s="4"/>
      <c r="F1043" s="4"/>
      <c r="G1043" s="6"/>
      <c r="H1043" s="6"/>
      <c r="I1043" s="6"/>
      <c r="J1043" s="6"/>
    </row>
    <row r="1044" spans="1:10" ht="13.5" thickBot="1">
      <c r="A1044" s="4"/>
      <c r="B1044" s="4"/>
      <c r="C1044" s="4"/>
      <c r="D1044" s="5"/>
      <c r="E1044" s="4"/>
      <c r="F1044" s="4"/>
      <c r="G1044" s="6"/>
      <c r="H1044" s="6"/>
      <c r="I1044" s="6"/>
      <c r="J1044" s="6"/>
    </row>
    <row r="1045" spans="1:10" ht="13.5" thickBot="1">
      <c r="A1045" s="4"/>
      <c r="B1045" s="4"/>
      <c r="C1045" s="4"/>
      <c r="D1045" s="5"/>
      <c r="E1045" s="4"/>
      <c r="F1045" s="4"/>
      <c r="G1045" s="6"/>
      <c r="H1045" s="6"/>
      <c r="I1045" s="6"/>
      <c r="J1045" s="6"/>
    </row>
    <row r="1046" spans="1:10" ht="13.5" thickBot="1">
      <c r="A1046" s="4"/>
      <c r="B1046" s="4"/>
      <c r="C1046" s="4"/>
      <c r="D1046" s="5"/>
      <c r="E1046" s="4"/>
      <c r="F1046" s="4"/>
      <c r="G1046" s="6"/>
      <c r="H1046" s="6"/>
      <c r="I1046" s="6"/>
      <c r="J1046" s="6"/>
    </row>
    <row r="1047" spans="1:10" ht="13.5" thickBot="1">
      <c r="A1047" s="4"/>
      <c r="B1047" s="4"/>
      <c r="C1047" s="4"/>
      <c r="D1047" s="5"/>
      <c r="E1047" s="4"/>
      <c r="F1047" s="4"/>
      <c r="G1047" s="6"/>
      <c r="H1047" s="6"/>
      <c r="I1047" s="6"/>
      <c r="J1047" s="6"/>
    </row>
    <row r="1048" spans="1:10" ht="13.5" thickBot="1">
      <c r="A1048" s="4"/>
      <c r="B1048" s="4"/>
      <c r="C1048" s="4"/>
      <c r="D1048" s="5"/>
      <c r="E1048" s="4"/>
      <c r="F1048" s="4"/>
      <c r="G1048" s="6"/>
      <c r="H1048" s="6"/>
      <c r="I1048" s="6"/>
      <c r="J1048" s="6"/>
    </row>
    <row r="1049" spans="1:10" ht="13.5" thickBot="1">
      <c r="A1049" s="4"/>
      <c r="B1049" s="4"/>
      <c r="C1049" s="4"/>
      <c r="D1049" s="5"/>
      <c r="E1049" s="4"/>
      <c r="F1049" s="4"/>
      <c r="G1049" s="6"/>
      <c r="H1049" s="6"/>
      <c r="I1049" s="6"/>
      <c r="J1049" s="6"/>
    </row>
    <row r="1050" spans="1:10" ht="13.5" thickBot="1">
      <c r="A1050" s="4"/>
      <c r="B1050" s="4"/>
      <c r="C1050" s="4"/>
      <c r="D1050" s="5"/>
      <c r="E1050" s="4"/>
      <c r="F1050" s="4"/>
      <c r="G1050" s="6"/>
      <c r="H1050" s="6"/>
      <c r="I1050" s="6"/>
      <c r="J1050" s="6"/>
    </row>
    <row r="1051" spans="1:10" ht="13.5" thickBot="1">
      <c r="A1051" s="4"/>
      <c r="B1051" s="4"/>
      <c r="C1051" s="4"/>
      <c r="D1051" s="5"/>
      <c r="E1051" s="4"/>
      <c r="F1051" s="4"/>
      <c r="G1051" s="6"/>
      <c r="H1051" s="6"/>
      <c r="I1051" s="6"/>
      <c r="J1051" s="6"/>
    </row>
    <row r="1052" spans="1:10" ht="13.5" thickBot="1">
      <c r="A1052" s="4"/>
      <c r="B1052" s="4"/>
      <c r="C1052" s="4"/>
      <c r="D1052" s="5"/>
      <c r="E1052" s="4"/>
      <c r="F1052" s="4"/>
      <c r="G1052" s="6"/>
      <c r="H1052" s="6"/>
      <c r="I1052" s="6"/>
      <c r="J1052" s="6"/>
    </row>
    <row r="1053" spans="1:10" ht="13.5" thickBot="1">
      <c r="A1053" s="4"/>
      <c r="B1053" s="4"/>
      <c r="C1053" s="4"/>
      <c r="D1053" s="5"/>
      <c r="E1053" s="4"/>
      <c r="F1053" s="4"/>
      <c r="G1053" s="6"/>
      <c r="H1053" s="6"/>
      <c r="I1053" s="6"/>
      <c r="J1053" s="6"/>
    </row>
    <row r="1054" spans="1:10" ht="13.5" thickBot="1">
      <c r="A1054" s="4"/>
      <c r="B1054" s="4"/>
      <c r="C1054" s="4"/>
      <c r="D1054" s="5"/>
      <c r="E1054" s="4"/>
      <c r="F1054" s="4"/>
      <c r="G1054" s="6"/>
      <c r="H1054" s="6"/>
      <c r="I1054" s="6"/>
      <c r="J1054" s="6"/>
    </row>
    <row r="1055" spans="1:10" ht="13.5" thickBot="1">
      <c r="A1055" s="4"/>
      <c r="B1055" s="4"/>
      <c r="C1055" s="4"/>
      <c r="D1055" s="5"/>
      <c r="E1055" s="4"/>
      <c r="F1055" s="4"/>
      <c r="G1055" s="6"/>
      <c r="H1055" s="6"/>
      <c r="I1055" s="6"/>
      <c r="J1055" s="6"/>
    </row>
    <row r="1056" spans="1:10" ht="13.5" thickBot="1">
      <c r="A1056" s="4"/>
      <c r="B1056" s="4"/>
      <c r="C1056" s="4"/>
      <c r="D1056" s="5"/>
      <c r="E1056" s="4"/>
      <c r="F1056" s="4"/>
      <c r="G1056" s="6"/>
      <c r="H1056" s="6"/>
      <c r="I1056" s="6"/>
      <c r="J1056" s="6"/>
    </row>
    <row r="1057" spans="1:10" ht="13.5" thickBot="1">
      <c r="A1057" s="4"/>
      <c r="B1057" s="4"/>
      <c r="C1057" s="4"/>
      <c r="D1057" s="5"/>
      <c r="E1057" s="4"/>
      <c r="F1057" s="4"/>
      <c r="G1057" s="6"/>
      <c r="H1057" s="6"/>
      <c r="I1057" s="6"/>
      <c r="J1057" s="6"/>
    </row>
    <row r="1058" spans="1:10" ht="13.5" thickBot="1">
      <c r="A1058" s="4"/>
      <c r="B1058" s="4"/>
      <c r="C1058" s="4"/>
      <c r="D1058" s="5"/>
      <c r="E1058" s="4"/>
      <c r="F1058" s="4"/>
      <c r="G1058" s="6"/>
      <c r="H1058" s="6"/>
      <c r="I1058" s="6"/>
      <c r="J1058" s="6"/>
    </row>
    <row r="1059" spans="1:10" ht="13.5" thickBot="1">
      <c r="A1059" s="4"/>
      <c r="B1059" s="4"/>
      <c r="C1059" s="4"/>
      <c r="D1059" s="5"/>
      <c r="E1059" s="4"/>
      <c r="F1059" s="4"/>
      <c r="G1059" s="6"/>
      <c r="H1059" s="6"/>
      <c r="I1059" s="6"/>
      <c r="J1059" s="6"/>
    </row>
    <row r="1060" spans="1:10" ht="13.5" thickBot="1">
      <c r="A1060" s="4"/>
      <c r="B1060" s="4"/>
      <c r="C1060" s="4"/>
      <c r="D1060" s="5"/>
      <c r="E1060" s="4"/>
      <c r="F1060" s="4"/>
      <c r="G1060" s="6"/>
      <c r="H1060" s="6"/>
      <c r="I1060" s="6"/>
      <c r="J1060" s="6"/>
    </row>
    <row r="1061" spans="1:10" ht="13.5" thickBot="1">
      <c r="A1061" s="4"/>
      <c r="B1061" s="4"/>
      <c r="C1061" s="4"/>
      <c r="D1061" s="5"/>
      <c r="E1061" s="4"/>
      <c r="F1061" s="4"/>
      <c r="G1061" s="6"/>
      <c r="H1061" s="6"/>
      <c r="I1061" s="6"/>
      <c r="J1061" s="6"/>
    </row>
    <row r="1062" spans="1:10" ht="13.5" thickBot="1">
      <c r="A1062" s="4"/>
      <c r="B1062" s="4"/>
      <c r="C1062" s="4"/>
      <c r="D1062" s="5"/>
      <c r="E1062" s="4"/>
      <c r="F1062" s="4"/>
      <c r="G1062" s="6"/>
      <c r="H1062" s="6"/>
      <c r="I1062" s="6"/>
      <c r="J1062" s="6"/>
    </row>
    <row r="1063" spans="1:10" ht="13.5" thickBot="1">
      <c r="A1063" s="4"/>
      <c r="B1063" s="4"/>
      <c r="C1063" s="4"/>
      <c r="D1063" s="5"/>
      <c r="E1063" s="4"/>
      <c r="F1063" s="4"/>
      <c r="G1063" s="6"/>
      <c r="H1063" s="6"/>
      <c r="I1063" s="6"/>
      <c r="J1063" s="6"/>
    </row>
    <row r="1064" spans="1:10" ht="13.5" thickBot="1">
      <c r="A1064" s="4"/>
      <c r="B1064" s="4"/>
      <c r="C1064" s="4"/>
      <c r="D1064" s="5"/>
      <c r="E1064" s="4"/>
      <c r="F1064" s="4"/>
      <c r="G1064" s="6"/>
      <c r="H1064" s="6"/>
      <c r="I1064" s="6"/>
      <c r="J1064" s="6"/>
    </row>
    <row r="1065" spans="1:10" ht="13.5" thickBot="1">
      <c r="A1065" s="4"/>
      <c r="B1065" s="4"/>
      <c r="C1065" s="4"/>
      <c r="D1065" s="5"/>
      <c r="E1065" s="4"/>
      <c r="F1065" s="4"/>
      <c r="G1065" s="6"/>
      <c r="H1065" s="6"/>
      <c r="I1065" s="6"/>
      <c r="J1065" s="6"/>
    </row>
    <row r="1066" spans="1:10" ht="13.5" thickBot="1">
      <c r="A1066" s="4"/>
      <c r="B1066" s="4"/>
      <c r="C1066" s="4"/>
      <c r="D1066" s="5"/>
      <c r="E1066" s="4"/>
      <c r="F1066" s="4"/>
      <c r="G1066" s="6"/>
      <c r="H1066" s="6"/>
      <c r="I1066" s="6"/>
      <c r="J1066" s="6"/>
    </row>
    <row r="1067" spans="1:10" ht="13.5" thickBot="1">
      <c r="A1067" s="4"/>
      <c r="B1067" s="4"/>
      <c r="C1067" s="4"/>
      <c r="D1067" s="5"/>
      <c r="E1067" s="4"/>
      <c r="F1067" s="4"/>
      <c r="G1067" s="6"/>
      <c r="H1067" s="6"/>
      <c r="I1067" s="6"/>
      <c r="J1067" s="6"/>
    </row>
    <row r="1068" spans="1:10" ht="13.5" thickBot="1">
      <c r="A1068" s="4"/>
      <c r="B1068" s="4"/>
      <c r="C1068" s="4"/>
      <c r="D1068" s="5"/>
      <c r="E1068" s="4"/>
      <c r="F1068" s="4"/>
      <c r="G1068" s="6"/>
      <c r="H1068" s="6"/>
      <c r="I1068" s="6"/>
      <c r="J1068" s="6"/>
    </row>
    <row r="1069" spans="1:10" ht="13.5" thickBot="1">
      <c r="A1069" s="4"/>
      <c r="B1069" s="4"/>
      <c r="C1069" s="4"/>
      <c r="D1069" s="5"/>
      <c r="E1069" s="4"/>
      <c r="F1069" s="4"/>
      <c r="G1069" s="6"/>
      <c r="H1069" s="6"/>
      <c r="I1069" s="6"/>
      <c r="J1069" s="6"/>
    </row>
    <row r="1070" spans="1:10" ht="13.5" thickBot="1">
      <c r="A1070" s="4"/>
      <c r="B1070" s="4"/>
      <c r="C1070" s="4"/>
      <c r="D1070" s="5"/>
      <c r="E1070" s="4"/>
      <c r="F1070" s="4"/>
      <c r="G1070" s="6"/>
      <c r="H1070" s="6"/>
      <c r="I1070" s="6"/>
      <c r="J1070" s="6"/>
    </row>
    <row r="1071" spans="1:10" ht="13.5" thickBot="1">
      <c r="A1071" s="4"/>
      <c r="B1071" s="4"/>
      <c r="C1071" s="4"/>
      <c r="D1071" s="5"/>
      <c r="E1071" s="4"/>
      <c r="F1071" s="4"/>
      <c r="G1071" s="6"/>
      <c r="H1071" s="6"/>
      <c r="I1071" s="6"/>
      <c r="J1071" s="6"/>
    </row>
    <row r="1072" spans="1:10" ht="13.5" thickBot="1">
      <c r="A1072" s="4"/>
      <c r="B1072" s="4"/>
      <c r="C1072" s="4"/>
      <c r="D1072" s="5"/>
      <c r="E1072" s="4"/>
      <c r="F1072" s="4"/>
      <c r="G1072" s="6"/>
      <c r="H1072" s="6"/>
      <c r="I1072" s="6"/>
      <c r="J1072" s="6"/>
    </row>
    <row r="1073" spans="1:10" ht="13.5" thickBot="1">
      <c r="A1073" s="4"/>
      <c r="B1073" s="4"/>
      <c r="C1073" s="4"/>
      <c r="D1073" s="5"/>
      <c r="E1073" s="4"/>
      <c r="F1073" s="4"/>
      <c r="G1073" s="6"/>
      <c r="H1073" s="6"/>
      <c r="I1073" s="6"/>
      <c r="J1073" s="6"/>
    </row>
    <row r="1074" spans="1:10" ht="13.5" thickBot="1">
      <c r="A1074" s="4"/>
      <c r="B1074" s="4"/>
      <c r="C1074" s="4"/>
      <c r="D1074" s="5"/>
      <c r="E1074" s="4"/>
      <c r="F1074" s="4"/>
      <c r="G1074" s="6"/>
      <c r="H1074" s="6"/>
      <c r="I1074" s="6"/>
      <c r="J1074" s="6"/>
    </row>
    <row r="1075" spans="1:10" ht="13.5" thickBot="1">
      <c r="A1075" s="4"/>
      <c r="B1075" s="4"/>
      <c r="C1075" s="4"/>
      <c r="D1075" s="5"/>
      <c r="E1075" s="4"/>
      <c r="F1075" s="4"/>
      <c r="G1075" s="6"/>
      <c r="H1075" s="6"/>
      <c r="I1075" s="6"/>
      <c r="J1075" s="6"/>
    </row>
    <row r="1076" spans="1:10" ht="13.5" thickBot="1">
      <c r="A1076" s="4"/>
      <c r="B1076" s="4"/>
      <c r="C1076" s="4"/>
      <c r="D1076" s="5"/>
      <c r="E1076" s="4"/>
      <c r="F1076" s="4"/>
      <c r="G1076" s="6"/>
      <c r="H1076" s="6"/>
      <c r="I1076" s="6"/>
      <c r="J1076" s="6"/>
    </row>
    <row r="1077" spans="1:10" ht="13.5" thickBot="1">
      <c r="A1077" s="4"/>
      <c r="B1077" s="4"/>
      <c r="C1077" s="4"/>
      <c r="D1077" s="5"/>
      <c r="E1077" s="4"/>
      <c r="F1077" s="4"/>
      <c r="G1077" s="6"/>
      <c r="H1077" s="6"/>
      <c r="I1077" s="6"/>
      <c r="J1077" s="6"/>
    </row>
    <row r="1078" spans="1:10" ht="13.5" thickBot="1">
      <c r="A1078" s="4"/>
      <c r="B1078" s="4"/>
      <c r="C1078" s="4"/>
      <c r="D1078" s="5"/>
      <c r="E1078" s="4"/>
      <c r="F1078" s="4"/>
      <c r="G1078" s="6"/>
      <c r="H1078" s="6"/>
      <c r="I1078" s="6"/>
      <c r="J1078" s="6"/>
    </row>
    <row r="1079" spans="1:10" ht="13.5" thickBot="1">
      <c r="A1079" s="4"/>
      <c r="B1079" s="4"/>
      <c r="C1079" s="4"/>
      <c r="D1079" s="5"/>
      <c r="E1079" s="4"/>
      <c r="F1079" s="4"/>
      <c r="G1079" s="6"/>
      <c r="H1079" s="6"/>
      <c r="I1079" s="6"/>
      <c r="J1079" s="6"/>
    </row>
    <row r="1080" spans="1:10" ht="13.5" thickBot="1">
      <c r="A1080" s="4"/>
      <c r="B1080" s="4"/>
      <c r="C1080" s="4"/>
      <c r="D1080" s="5"/>
      <c r="E1080" s="4"/>
      <c r="F1080" s="4"/>
      <c r="G1080" s="6"/>
      <c r="H1080" s="6"/>
      <c r="I1080" s="6"/>
      <c r="J1080" s="6"/>
    </row>
    <row r="1081" spans="1:10" ht="13.5" thickBot="1">
      <c r="A1081" s="4"/>
      <c r="B1081" s="4"/>
      <c r="C1081" s="4"/>
      <c r="D1081" s="5"/>
      <c r="E1081" s="4"/>
      <c r="F1081" s="4"/>
      <c r="G1081" s="6"/>
      <c r="H1081" s="6"/>
      <c r="I1081" s="6"/>
      <c r="J1081" s="6"/>
    </row>
    <row r="1082" spans="1:10" ht="13.5" thickBot="1">
      <c r="A1082" s="4"/>
      <c r="B1082" s="4"/>
      <c r="C1082" s="4"/>
      <c r="D1082" s="5"/>
      <c r="E1082" s="4"/>
      <c r="F1082" s="4"/>
      <c r="G1082" s="6"/>
      <c r="H1082" s="6"/>
      <c r="I1082" s="6"/>
      <c r="J1082" s="6"/>
    </row>
    <row r="1083" spans="1:10" ht="13.5" thickBot="1">
      <c r="A1083" s="4"/>
      <c r="B1083" s="4"/>
      <c r="C1083" s="4"/>
      <c r="D1083" s="5"/>
      <c r="E1083" s="4"/>
      <c r="F1083" s="4"/>
      <c r="G1083" s="6"/>
      <c r="H1083" s="6"/>
      <c r="I1083" s="6"/>
      <c r="J1083" s="6"/>
    </row>
    <row r="1084" spans="1:10" ht="13.5" thickBot="1">
      <c r="A1084" s="4"/>
      <c r="B1084" s="4"/>
      <c r="C1084" s="4"/>
      <c r="D1084" s="5"/>
      <c r="E1084" s="4"/>
      <c r="F1084" s="4"/>
      <c r="G1084" s="6"/>
      <c r="H1084" s="6"/>
      <c r="I1084" s="6"/>
      <c r="J1084" s="6"/>
    </row>
    <row r="1085" spans="1:10" ht="13.5" thickBot="1">
      <c r="A1085" s="4"/>
      <c r="B1085" s="4"/>
      <c r="C1085" s="4"/>
      <c r="D1085" s="5"/>
      <c r="E1085" s="4"/>
      <c r="F1085" s="4"/>
      <c r="G1085" s="6"/>
      <c r="H1085" s="6"/>
      <c r="I1085" s="6"/>
      <c r="J1085" s="6"/>
    </row>
    <row r="1086" spans="1:10" ht="13.5" thickBot="1">
      <c r="A1086" s="4"/>
      <c r="B1086" s="4"/>
      <c r="C1086" s="4"/>
      <c r="D1086" s="5"/>
      <c r="E1086" s="4"/>
      <c r="F1086" s="4"/>
      <c r="G1086" s="6"/>
      <c r="H1086" s="6"/>
      <c r="I1086" s="6"/>
      <c r="J1086" s="6"/>
    </row>
    <row r="1087" spans="1:10" ht="13.5" thickBot="1">
      <c r="A1087" s="4"/>
      <c r="B1087" s="4"/>
      <c r="C1087" s="4"/>
      <c r="D1087" s="5"/>
      <c r="E1087" s="4"/>
      <c r="F1087" s="4"/>
      <c r="G1087" s="6"/>
      <c r="H1087" s="6"/>
      <c r="I1087" s="6"/>
      <c r="J1087" s="6"/>
    </row>
    <row r="1088" spans="1:10" ht="13.5" thickBot="1">
      <c r="A1088" s="4"/>
      <c r="B1088" s="4"/>
      <c r="C1088" s="4"/>
      <c r="D1088" s="5"/>
      <c r="E1088" s="4"/>
      <c r="F1088" s="4"/>
      <c r="G1088" s="6"/>
      <c r="H1088" s="6"/>
      <c r="I1088" s="6"/>
      <c r="J1088" s="6"/>
    </row>
    <row r="1089" spans="1:10" ht="13.5" thickBot="1">
      <c r="A1089" s="4"/>
      <c r="B1089" s="4"/>
      <c r="C1089" s="4"/>
      <c r="D1089" s="5"/>
      <c r="E1089" s="4"/>
      <c r="F1089" s="4"/>
      <c r="G1089" s="6"/>
      <c r="H1089" s="6"/>
      <c r="I1089" s="6"/>
      <c r="J1089" s="6"/>
    </row>
    <row r="1090" spans="1:10" ht="13.5" thickBot="1">
      <c r="A1090" s="4"/>
      <c r="B1090" s="4"/>
      <c r="C1090" s="4"/>
      <c r="D1090" s="5"/>
      <c r="E1090" s="4"/>
      <c r="F1090" s="4"/>
      <c r="G1090" s="6"/>
      <c r="H1090" s="6"/>
      <c r="I1090" s="6"/>
      <c r="J1090" s="6"/>
    </row>
    <row r="1091" spans="1:10" ht="13.5" thickBot="1">
      <c r="A1091" s="4"/>
      <c r="B1091" s="4"/>
      <c r="C1091" s="4"/>
      <c r="D1091" s="5"/>
      <c r="E1091" s="4"/>
      <c r="F1091" s="4"/>
      <c r="G1091" s="6"/>
      <c r="H1091" s="6"/>
      <c r="I1091" s="6"/>
      <c r="J1091" s="6"/>
    </row>
    <row r="1092" spans="1:10" ht="13.5" thickBot="1">
      <c r="A1092" s="4"/>
      <c r="B1092" s="4"/>
      <c r="C1092" s="4"/>
      <c r="D1092" s="5"/>
      <c r="E1092" s="4"/>
      <c r="F1092" s="4"/>
      <c r="G1092" s="6"/>
      <c r="H1092" s="6"/>
      <c r="I1092" s="6"/>
      <c r="J1092" s="6"/>
    </row>
    <row r="1093" spans="1:10" ht="13.5" thickBot="1">
      <c r="A1093" s="4"/>
      <c r="B1093" s="4"/>
      <c r="C1093" s="4"/>
      <c r="D1093" s="5"/>
      <c r="E1093" s="4"/>
      <c r="F1093" s="4"/>
      <c r="G1093" s="6"/>
      <c r="H1093" s="6"/>
      <c r="I1093" s="6"/>
      <c r="J1093" s="6"/>
    </row>
    <row r="1094" spans="1:10" ht="13.5" thickBot="1">
      <c r="A1094" s="4"/>
      <c r="B1094" s="4"/>
      <c r="C1094" s="4"/>
      <c r="D1094" s="5"/>
      <c r="E1094" s="4"/>
      <c r="F1094" s="4"/>
      <c r="G1094" s="6"/>
      <c r="H1094" s="6"/>
      <c r="I1094" s="6"/>
      <c r="J1094" s="6"/>
    </row>
    <row r="1095" spans="1:10" ht="13.5" thickBot="1">
      <c r="A1095" s="4"/>
      <c r="B1095" s="4"/>
      <c r="C1095" s="4"/>
      <c r="D1095" s="5"/>
      <c r="E1095" s="4"/>
      <c r="F1095" s="4"/>
      <c r="G1095" s="6"/>
      <c r="H1095" s="6"/>
      <c r="I1095" s="6"/>
      <c r="J1095" s="6"/>
    </row>
    <row r="1096" spans="1:10" ht="13.5" thickBot="1">
      <c r="A1096" s="4"/>
      <c r="B1096" s="4"/>
      <c r="C1096" s="4"/>
      <c r="D1096" s="5"/>
      <c r="E1096" s="4"/>
      <c r="F1096" s="4"/>
      <c r="G1096" s="6"/>
      <c r="H1096" s="6"/>
      <c r="I1096" s="6"/>
      <c r="J1096" s="6"/>
    </row>
    <row r="1097" spans="1:10" ht="13.5" thickBot="1">
      <c r="A1097" s="4"/>
      <c r="B1097" s="4"/>
      <c r="C1097" s="4"/>
      <c r="D1097" s="5"/>
      <c r="E1097" s="4"/>
      <c r="F1097" s="4"/>
      <c r="G1097" s="6"/>
      <c r="H1097" s="6"/>
      <c r="I1097" s="6"/>
      <c r="J1097" s="6"/>
    </row>
    <row r="1098" spans="1:10" ht="13.5" thickBot="1">
      <c r="A1098" s="4"/>
      <c r="B1098" s="4"/>
      <c r="C1098" s="4"/>
      <c r="D1098" s="5"/>
      <c r="E1098" s="4"/>
      <c r="F1098" s="4"/>
      <c r="G1098" s="6"/>
      <c r="H1098" s="6"/>
      <c r="I1098" s="6"/>
      <c r="J1098" s="6"/>
    </row>
    <row r="1099" spans="1:10" ht="13.5" thickBot="1">
      <c r="A1099" s="4"/>
      <c r="B1099" s="4"/>
      <c r="C1099" s="4"/>
      <c r="D1099" s="5"/>
      <c r="E1099" s="4"/>
      <c r="F1099" s="4"/>
      <c r="G1099" s="6"/>
      <c r="H1099" s="6"/>
      <c r="I1099" s="6"/>
      <c r="J1099" s="6"/>
    </row>
    <row r="1100" spans="1:10" ht="13.5" thickBot="1">
      <c r="A1100" s="4"/>
      <c r="B1100" s="4"/>
      <c r="C1100" s="4"/>
      <c r="D1100" s="5"/>
      <c r="E1100" s="4"/>
      <c r="F1100" s="4"/>
      <c r="G1100" s="6"/>
      <c r="H1100" s="6"/>
      <c r="I1100" s="6"/>
      <c r="J1100" s="6"/>
    </row>
    <row r="1101" spans="1:10" ht="13.5" thickBot="1">
      <c r="A1101" s="4"/>
      <c r="B1101" s="4"/>
      <c r="C1101" s="4"/>
      <c r="D1101" s="5"/>
      <c r="E1101" s="4"/>
      <c r="F1101" s="4"/>
      <c r="G1101" s="6"/>
      <c r="H1101" s="6"/>
      <c r="I1101" s="6"/>
      <c r="J1101" s="6"/>
    </row>
    <row r="1102" spans="1:10" ht="13.5" thickBot="1">
      <c r="A1102" s="4"/>
      <c r="B1102" s="4"/>
      <c r="C1102" s="4"/>
      <c r="D1102" s="5"/>
      <c r="E1102" s="4"/>
      <c r="F1102" s="4"/>
      <c r="G1102" s="6"/>
      <c r="H1102" s="6"/>
      <c r="I1102" s="6"/>
      <c r="J1102" s="6"/>
    </row>
    <row r="1103" spans="1:10" ht="13.5" thickBot="1">
      <c r="A1103" s="4"/>
      <c r="B1103" s="4"/>
      <c r="C1103" s="4"/>
      <c r="D1103" s="5"/>
      <c r="E1103" s="4"/>
      <c r="F1103" s="4"/>
      <c r="G1103" s="6"/>
      <c r="H1103" s="6"/>
      <c r="I1103" s="6"/>
      <c r="J1103" s="6"/>
    </row>
    <row r="1104" spans="1:10" ht="13.5" thickBot="1">
      <c r="A1104" s="4"/>
      <c r="B1104" s="4"/>
      <c r="C1104" s="4"/>
      <c r="D1104" s="5"/>
      <c r="E1104" s="4"/>
      <c r="F1104" s="4"/>
      <c r="G1104" s="6"/>
      <c r="H1104" s="6"/>
      <c r="I1104" s="6"/>
      <c r="J1104" s="6"/>
    </row>
    <row r="1105" spans="1:10" ht="13.5" thickBot="1">
      <c r="A1105" s="4"/>
      <c r="B1105" s="4"/>
      <c r="C1105" s="4"/>
      <c r="D1105" s="5"/>
      <c r="E1105" s="4"/>
      <c r="F1105" s="4"/>
      <c r="G1105" s="6"/>
      <c r="H1105" s="6"/>
      <c r="I1105" s="6"/>
      <c r="J1105" s="6"/>
    </row>
    <row r="1106" spans="1:10" ht="13.5" thickBot="1">
      <c r="A1106" s="4"/>
      <c r="B1106" s="4"/>
      <c r="C1106" s="4"/>
      <c r="D1106" s="5"/>
      <c r="E1106" s="4"/>
      <c r="F1106" s="4"/>
      <c r="G1106" s="6"/>
      <c r="H1106" s="6"/>
      <c r="I1106" s="6"/>
      <c r="J1106" s="6"/>
    </row>
    <row r="1107" spans="1:10" ht="13.5" thickBot="1">
      <c r="A1107" s="4"/>
      <c r="B1107" s="4"/>
      <c r="C1107" s="4"/>
      <c r="D1107" s="5"/>
      <c r="E1107" s="4"/>
      <c r="F1107" s="4"/>
      <c r="G1107" s="6"/>
      <c r="H1107" s="6"/>
      <c r="I1107" s="6"/>
      <c r="J1107" s="6"/>
    </row>
    <row r="1108" spans="1:10" ht="13.5" thickBot="1">
      <c r="A1108" s="4"/>
      <c r="B1108" s="4"/>
      <c r="C1108" s="4"/>
      <c r="D1108" s="5"/>
      <c r="E1108" s="4"/>
      <c r="F1108" s="4"/>
      <c r="G1108" s="6"/>
      <c r="H1108" s="6"/>
      <c r="I1108" s="6"/>
      <c r="J1108" s="6"/>
    </row>
    <row r="1109" spans="1:10" ht="13.5" thickBot="1">
      <c r="A1109" s="4"/>
      <c r="B1109" s="4"/>
      <c r="C1109" s="4"/>
      <c r="D1109" s="5"/>
      <c r="E1109" s="4"/>
      <c r="F1109" s="4"/>
      <c r="G1109" s="6"/>
      <c r="H1109" s="6"/>
      <c r="I1109" s="6"/>
      <c r="J1109" s="6"/>
    </row>
    <row r="1110" spans="1:10" ht="13.5" thickBot="1">
      <c r="A1110" s="4"/>
      <c r="B1110" s="4"/>
      <c r="C1110" s="4"/>
      <c r="D1110" s="5"/>
      <c r="E1110" s="4"/>
      <c r="F1110" s="4"/>
      <c r="G1110" s="6"/>
      <c r="H1110" s="6"/>
      <c r="I1110" s="6"/>
      <c r="J1110" s="6"/>
    </row>
    <row r="1111" spans="1:10" ht="13.5" thickBot="1">
      <c r="A1111" s="4"/>
      <c r="B1111" s="4"/>
      <c r="C1111" s="4"/>
      <c r="D1111" s="5"/>
      <c r="E1111" s="4"/>
      <c r="F1111" s="4"/>
      <c r="G1111" s="6"/>
      <c r="H1111" s="6"/>
      <c r="I1111" s="6"/>
      <c r="J1111" s="6"/>
    </row>
    <row r="1112" spans="1:10" ht="13.5" thickBot="1">
      <c r="A1112" s="4"/>
      <c r="B1112" s="4"/>
      <c r="C1112" s="4"/>
      <c r="D1112" s="5"/>
      <c r="E1112" s="4"/>
      <c r="F1112" s="4"/>
      <c r="G1112" s="6"/>
      <c r="H1112" s="6"/>
      <c r="I1112" s="6"/>
      <c r="J1112" s="6"/>
    </row>
    <row r="1113" spans="1:10" ht="13.5" thickBot="1">
      <c r="A1113" s="4"/>
      <c r="B1113" s="4"/>
      <c r="C1113" s="4"/>
      <c r="D1113" s="5"/>
      <c r="E1113" s="4"/>
      <c r="F1113" s="4"/>
      <c r="G1113" s="6"/>
      <c r="H1113" s="6"/>
      <c r="I1113" s="6"/>
      <c r="J1113" s="6"/>
    </row>
    <row r="1114" spans="1:10" ht="13.5" thickBot="1">
      <c r="A1114" s="4"/>
      <c r="B1114" s="4"/>
      <c r="C1114" s="4"/>
      <c r="D1114" s="5"/>
      <c r="E1114" s="4"/>
      <c r="F1114" s="4"/>
      <c r="G1114" s="6"/>
      <c r="H1114" s="6"/>
      <c r="I1114" s="6"/>
      <c r="J1114" s="6"/>
    </row>
    <row r="1115" spans="1:10" ht="13.5" thickBot="1">
      <c r="A1115" s="4"/>
      <c r="B1115" s="4"/>
      <c r="C1115" s="4"/>
      <c r="D1115" s="5"/>
      <c r="E1115" s="4"/>
      <c r="F1115" s="4"/>
      <c r="G1115" s="6"/>
      <c r="H1115" s="6"/>
      <c r="I1115" s="6"/>
      <c r="J1115" s="6"/>
    </row>
    <row r="1116" spans="1:10" ht="13.5" thickBot="1">
      <c r="A1116" s="4"/>
      <c r="B1116" s="4"/>
      <c r="C1116" s="4"/>
      <c r="D1116" s="5"/>
      <c r="E1116" s="4"/>
      <c r="F1116" s="4"/>
      <c r="G1116" s="6"/>
      <c r="H1116" s="6"/>
      <c r="I1116" s="6"/>
      <c r="J1116" s="6"/>
    </row>
    <row r="1117" spans="1:10" ht="13.5" thickBot="1">
      <c r="A1117" s="4"/>
      <c r="B1117" s="4"/>
      <c r="C1117" s="4"/>
      <c r="D1117" s="5"/>
      <c r="E1117" s="4"/>
      <c r="F1117" s="4"/>
      <c r="G1117" s="6"/>
      <c r="H1117" s="6"/>
      <c r="I1117" s="6"/>
      <c r="J1117" s="6"/>
    </row>
    <row r="1118" spans="1:10" ht="13.5" thickBot="1">
      <c r="A1118" s="4"/>
      <c r="B1118" s="4"/>
      <c r="C1118" s="4"/>
      <c r="D1118" s="5"/>
      <c r="E1118" s="4"/>
      <c r="F1118" s="4"/>
      <c r="G1118" s="6"/>
      <c r="H1118" s="6"/>
      <c r="I1118" s="6"/>
      <c r="J1118" s="6"/>
    </row>
    <row r="1119" spans="1:10" ht="13.5" thickBot="1">
      <c r="A1119" s="4"/>
      <c r="B1119" s="4"/>
      <c r="C1119" s="4"/>
      <c r="D1119" s="5"/>
      <c r="E1119" s="4"/>
      <c r="F1119" s="4"/>
      <c r="G1119" s="6"/>
      <c r="H1119" s="6"/>
      <c r="I1119" s="6"/>
      <c r="J1119" s="6"/>
    </row>
    <row r="1120" spans="1:10" ht="13.5" thickBot="1">
      <c r="A1120" s="4"/>
      <c r="B1120" s="4"/>
      <c r="C1120" s="4"/>
      <c r="D1120" s="5"/>
      <c r="E1120" s="4"/>
      <c r="F1120" s="4"/>
      <c r="G1120" s="6"/>
      <c r="H1120" s="6"/>
      <c r="I1120" s="6"/>
      <c r="J1120" s="6"/>
    </row>
    <row r="1121" spans="1:10" ht="13.5" thickBot="1">
      <c r="A1121" s="4"/>
      <c r="B1121" s="4"/>
      <c r="C1121" s="4"/>
      <c r="D1121" s="5"/>
      <c r="E1121" s="4"/>
      <c r="F1121" s="4"/>
      <c r="G1121" s="6"/>
      <c r="H1121" s="6"/>
      <c r="I1121" s="6"/>
      <c r="J1121" s="6"/>
    </row>
    <row r="1122" spans="1:10" ht="13.5" thickBot="1">
      <c r="A1122" s="4"/>
      <c r="B1122" s="4"/>
      <c r="C1122" s="4"/>
      <c r="D1122" s="5"/>
      <c r="E1122" s="4"/>
      <c r="F1122" s="4"/>
      <c r="G1122" s="6"/>
      <c r="H1122" s="6"/>
      <c r="I1122" s="6"/>
      <c r="J1122" s="6"/>
    </row>
    <row r="1123" spans="1:10" ht="13.5" thickBot="1">
      <c r="A1123" s="4"/>
      <c r="B1123" s="4"/>
      <c r="C1123" s="4"/>
      <c r="D1123" s="5"/>
      <c r="E1123" s="4"/>
      <c r="F1123" s="4"/>
      <c r="G1123" s="6"/>
      <c r="H1123" s="6"/>
      <c r="I1123" s="6"/>
      <c r="J1123" s="6"/>
    </row>
    <row r="1124" spans="1:10" ht="13.5" thickBot="1">
      <c r="A1124" s="4"/>
      <c r="B1124" s="4"/>
      <c r="C1124" s="4"/>
      <c r="D1124" s="5"/>
      <c r="E1124" s="4"/>
      <c r="F1124" s="4"/>
      <c r="G1124" s="6"/>
      <c r="H1124" s="6"/>
      <c r="I1124" s="6"/>
      <c r="J1124" s="6"/>
    </row>
    <row r="1125" spans="1:10" ht="13.5" thickBot="1">
      <c r="A1125" s="4"/>
      <c r="B1125" s="4"/>
      <c r="C1125" s="4"/>
      <c r="D1125" s="5"/>
      <c r="E1125" s="4"/>
      <c r="F1125" s="4"/>
      <c r="G1125" s="6"/>
      <c r="H1125" s="6"/>
      <c r="I1125" s="6"/>
      <c r="J1125" s="6"/>
    </row>
    <row r="1126" spans="1:10" ht="13.5" thickBot="1">
      <c r="A1126" s="4"/>
      <c r="B1126" s="4"/>
      <c r="C1126" s="4"/>
      <c r="D1126" s="5"/>
      <c r="E1126" s="4"/>
      <c r="F1126" s="4"/>
      <c r="G1126" s="6"/>
      <c r="H1126" s="6"/>
      <c r="I1126" s="6"/>
      <c r="J1126" s="6"/>
    </row>
    <row r="1127" spans="1:10" ht="13.5" thickBot="1">
      <c r="A1127" s="4"/>
      <c r="B1127" s="4"/>
      <c r="C1127" s="4"/>
      <c r="D1127" s="5"/>
      <c r="E1127" s="4"/>
      <c r="F1127" s="4"/>
      <c r="G1127" s="6"/>
      <c r="H1127" s="6"/>
      <c r="I1127" s="6"/>
      <c r="J1127" s="6"/>
    </row>
    <row r="1128" spans="1:10" ht="13.5" thickBot="1">
      <c r="A1128" s="4"/>
      <c r="B1128" s="4"/>
      <c r="C1128" s="4"/>
      <c r="D1128" s="5"/>
      <c r="E1128" s="4"/>
      <c r="F1128" s="4"/>
      <c r="G1128" s="6"/>
      <c r="H1128" s="6"/>
      <c r="I1128" s="6"/>
      <c r="J1128" s="6"/>
    </row>
    <row r="1129" spans="1:10" ht="13.5" thickBot="1">
      <c r="A1129" s="4"/>
      <c r="B1129" s="4"/>
      <c r="C1129" s="4"/>
      <c r="D1129" s="5"/>
      <c r="E1129" s="4"/>
      <c r="F1129" s="4"/>
      <c r="G1129" s="6"/>
      <c r="H1129" s="6"/>
      <c r="I1129" s="6"/>
      <c r="J1129" s="6"/>
    </row>
    <row r="1130" spans="1:10" ht="13.5" thickBot="1">
      <c r="A1130" s="4"/>
      <c r="B1130" s="4"/>
      <c r="C1130" s="4"/>
      <c r="D1130" s="5"/>
      <c r="E1130" s="4"/>
      <c r="F1130" s="4"/>
      <c r="G1130" s="6"/>
      <c r="H1130" s="6"/>
      <c r="I1130" s="6"/>
      <c r="J1130" s="6"/>
    </row>
    <row r="1131" spans="1:10" ht="13.5" thickBot="1">
      <c r="A1131" s="4"/>
      <c r="B1131" s="4"/>
      <c r="C1131" s="4"/>
      <c r="D1131" s="5"/>
      <c r="E1131" s="4"/>
      <c r="F1131" s="4"/>
      <c r="G1131" s="6"/>
      <c r="H1131" s="6"/>
      <c r="I1131" s="6"/>
      <c r="J1131" s="6"/>
    </row>
    <row r="1132" spans="1:10" ht="13.5" thickBot="1">
      <c r="A1132" s="4"/>
      <c r="B1132" s="4"/>
      <c r="C1132" s="4"/>
      <c r="D1132" s="5"/>
      <c r="E1132" s="4"/>
      <c r="F1132" s="4"/>
      <c r="G1132" s="6"/>
      <c r="H1132" s="6"/>
      <c r="I1132" s="6"/>
      <c r="J1132" s="6"/>
    </row>
    <row r="1133" spans="1:10" ht="13.5" thickBot="1">
      <c r="A1133" s="4"/>
      <c r="B1133" s="4"/>
      <c r="C1133" s="4"/>
      <c r="D1133" s="5"/>
      <c r="E1133" s="4"/>
      <c r="F1133" s="4"/>
      <c r="G1133" s="6"/>
      <c r="H1133" s="6"/>
      <c r="I1133" s="6"/>
      <c r="J1133" s="6"/>
    </row>
    <row r="1134" spans="1:10" ht="13.5" thickBot="1">
      <c r="A1134" s="4"/>
      <c r="B1134" s="4"/>
      <c r="C1134" s="4"/>
      <c r="D1134" s="5"/>
      <c r="E1134" s="4"/>
      <c r="F1134" s="4"/>
      <c r="G1134" s="6"/>
      <c r="H1134" s="6"/>
      <c r="I1134" s="6"/>
      <c r="J1134" s="6"/>
    </row>
    <row r="1135" spans="1:10" ht="13.5" thickBot="1">
      <c r="A1135" s="4"/>
      <c r="B1135" s="4"/>
      <c r="C1135" s="4"/>
      <c r="D1135" s="5"/>
      <c r="E1135" s="4"/>
      <c r="F1135" s="4"/>
      <c r="G1135" s="6"/>
      <c r="H1135" s="6"/>
      <c r="I1135" s="6"/>
      <c r="J1135" s="6"/>
    </row>
    <row r="1136" spans="1:10" ht="13.5" thickBot="1">
      <c r="A1136" s="4"/>
      <c r="B1136" s="4"/>
      <c r="C1136" s="4"/>
      <c r="D1136" s="5"/>
      <c r="E1136" s="4"/>
      <c r="F1136" s="4"/>
      <c r="G1136" s="6"/>
      <c r="H1136" s="6"/>
      <c r="I1136" s="6"/>
      <c r="J1136" s="6"/>
    </row>
    <row r="1137" spans="1:10" ht="13.5" thickBot="1">
      <c r="A1137" s="4"/>
      <c r="B1137" s="4"/>
      <c r="C1137" s="4"/>
      <c r="D1137" s="5"/>
      <c r="E1137" s="4"/>
      <c r="F1137" s="4"/>
      <c r="G1137" s="6"/>
      <c r="H1137" s="6"/>
      <c r="I1137" s="6"/>
      <c r="J1137" s="6"/>
    </row>
    <row r="1138" spans="1:10" ht="13.5" thickBot="1">
      <c r="A1138" s="4"/>
      <c r="B1138" s="4"/>
      <c r="C1138" s="4"/>
      <c r="D1138" s="5"/>
      <c r="E1138" s="4"/>
      <c r="F1138" s="4"/>
      <c r="G1138" s="6"/>
      <c r="H1138" s="6"/>
      <c r="I1138" s="6"/>
      <c r="J1138" s="6"/>
    </row>
    <row r="1139" spans="1:10" ht="13.5" thickBot="1">
      <c r="A1139" s="4"/>
      <c r="B1139" s="4"/>
      <c r="C1139" s="4"/>
      <c r="D1139" s="5"/>
      <c r="E1139" s="4"/>
      <c r="F1139" s="4"/>
      <c r="G1139" s="6"/>
      <c r="H1139" s="6"/>
      <c r="I1139" s="6"/>
      <c r="J1139" s="6"/>
    </row>
    <row r="1140" spans="1:10" ht="13.5" thickBot="1">
      <c r="A1140" s="4"/>
      <c r="B1140" s="4"/>
      <c r="C1140" s="4"/>
      <c r="D1140" s="5"/>
      <c r="E1140" s="4"/>
      <c r="F1140" s="4"/>
      <c r="G1140" s="6"/>
      <c r="H1140" s="6"/>
      <c r="I1140" s="6"/>
      <c r="J1140" s="6"/>
    </row>
    <row r="1141" spans="1:10" ht="13.5" thickBot="1">
      <c r="A1141" s="4"/>
      <c r="B1141" s="4"/>
      <c r="C1141" s="4"/>
      <c r="D1141" s="5"/>
      <c r="E1141" s="4"/>
      <c r="F1141" s="4"/>
      <c r="G1141" s="6"/>
      <c r="H1141" s="6"/>
      <c r="I1141" s="6"/>
      <c r="J1141" s="6"/>
    </row>
    <row r="1142" spans="1:10" ht="13.5" thickBot="1">
      <c r="A1142" s="4"/>
      <c r="B1142" s="4"/>
      <c r="C1142" s="4"/>
      <c r="D1142" s="5"/>
      <c r="E1142" s="4"/>
      <c r="F1142" s="4"/>
      <c r="G1142" s="6"/>
      <c r="H1142" s="6"/>
      <c r="I1142" s="6"/>
      <c r="J1142" s="6"/>
    </row>
    <row r="1143" spans="1:10" ht="13.5" thickBot="1">
      <c r="A1143" s="4"/>
      <c r="B1143" s="4"/>
      <c r="C1143" s="4"/>
      <c r="D1143" s="5"/>
      <c r="E1143" s="4"/>
      <c r="F1143" s="4"/>
      <c r="G1143" s="6"/>
      <c r="H1143" s="6"/>
      <c r="I1143" s="6"/>
      <c r="J1143" s="6"/>
    </row>
    <row r="1144" spans="1:10" ht="13.5" thickBot="1">
      <c r="A1144" s="4"/>
      <c r="B1144" s="4"/>
      <c r="C1144" s="4"/>
      <c r="D1144" s="5"/>
      <c r="E1144" s="4"/>
      <c r="F1144" s="4"/>
      <c r="G1144" s="6"/>
      <c r="H1144" s="6"/>
      <c r="I1144" s="6"/>
      <c r="J1144" s="6"/>
    </row>
    <row r="1145" spans="1:10" ht="13.5" thickBot="1">
      <c r="A1145" s="4"/>
      <c r="B1145" s="4"/>
      <c r="C1145" s="4"/>
      <c r="D1145" s="5"/>
      <c r="E1145" s="4"/>
      <c r="F1145" s="4"/>
      <c r="G1145" s="6"/>
      <c r="H1145" s="6"/>
      <c r="I1145" s="6"/>
      <c r="J1145" s="6"/>
    </row>
    <row r="1146" spans="1:10" ht="13.5" thickBot="1">
      <c r="A1146" s="4"/>
      <c r="B1146" s="4"/>
      <c r="C1146" s="4"/>
      <c r="D1146" s="5"/>
      <c r="E1146" s="4"/>
      <c r="F1146" s="4"/>
      <c r="G1146" s="6"/>
      <c r="H1146" s="6"/>
      <c r="I1146" s="6"/>
      <c r="J1146" s="6"/>
    </row>
    <row r="1147" spans="1:10" ht="13.5" thickBot="1">
      <c r="A1147" s="4"/>
      <c r="B1147" s="4"/>
      <c r="C1147" s="4"/>
      <c r="D1147" s="5"/>
      <c r="E1147" s="4"/>
      <c r="F1147" s="4"/>
      <c r="G1147" s="6"/>
      <c r="H1147" s="6"/>
      <c r="I1147" s="6"/>
      <c r="J1147" s="6"/>
    </row>
    <row r="1148" spans="1:10" ht="13.5" thickBot="1">
      <c r="A1148" s="4"/>
      <c r="B1148" s="4"/>
      <c r="C1148" s="4"/>
      <c r="D1148" s="5"/>
      <c r="E1148" s="4"/>
      <c r="F1148" s="4"/>
      <c r="G1148" s="6"/>
      <c r="H1148" s="6"/>
      <c r="I1148" s="6"/>
      <c r="J1148" s="6"/>
    </row>
    <row r="1149" spans="1:10" ht="13.5" thickBot="1">
      <c r="A1149" s="4"/>
      <c r="B1149" s="4"/>
      <c r="C1149" s="4"/>
      <c r="D1149" s="5"/>
      <c r="E1149" s="4"/>
      <c r="F1149" s="4"/>
      <c r="G1149" s="6"/>
      <c r="H1149" s="6"/>
      <c r="I1149" s="6"/>
      <c r="J1149" s="6"/>
    </row>
    <row r="1150" spans="1:10" ht="13.5" thickBot="1">
      <c r="A1150" s="4"/>
      <c r="B1150" s="4"/>
      <c r="C1150" s="4"/>
      <c r="D1150" s="5"/>
      <c r="E1150" s="4"/>
      <c r="F1150" s="4"/>
      <c r="G1150" s="6"/>
      <c r="H1150" s="6"/>
      <c r="I1150" s="6"/>
      <c r="J1150" s="6"/>
    </row>
    <row r="1151" spans="1:10" ht="13.5" thickBot="1">
      <c r="A1151" s="4"/>
      <c r="B1151" s="4"/>
      <c r="C1151" s="4"/>
      <c r="D1151" s="5"/>
      <c r="E1151" s="4"/>
      <c r="F1151" s="4"/>
      <c r="G1151" s="6"/>
      <c r="H1151" s="6"/>
      <c r="I1151" s="6"/>
      <c r="J1151" s="6"/>
    </row>
    <row r="1152" spans="1:10" ht="13.5" thickBot="1">
      <c r="A1152" s="4"/>
      <c r="B1152" s="4"/>
      <c r="C1152" s="4"/>
      <c r="D1152" s="5"/>
      <c r="E1152" s="4"/>
      <c r="F1152" s="4"/>
      <c r="G1152" s="6"/>
      <c r="H1152" s="6"/>
      <c r="I1152" s="6"/>
      <c r="J1152" s="6"/>
    </row>
    <row r="1153" spans="1:10" ht="13.5" thickBot="1">
      <c r="A1153" s="4"/>
      <c r="B1153" s="4"/>
      <c r="C1153" s="4"/>
      <c r="D1153" s="5"/>
      <c r="E1153" s="4"/>
      <c r="F1153" s="4"/>
      <c r="G1153" s="6"/>
      <c r="H1153" s="6"/>
      <c r="I1153" s="6"/>
      <c r="J1153" s="6"/>
    </row>
    <row r="1154" spans="1:10" ht="13.5" thickBot="1">
      <c r="A1154" s="4"/>
      <c r="B1154" s="4"/>
      <c r="C1154" s="4"/>
      <c r="D1154" s="5"/>
      <c r="E1154" s="4"/>
      <c r="F1154" s="4"/>
      <c r="G1154" s="6"/>
      <c r="H1154" s="6"/>
      <c r="I1154" s="6"/>
      <c r="J1154" s="6"/>
    </row>
    <row r="1155" spans="1:10" ht="13.5" thickBot="1">
      <c r="A1155" s="4"/>
      <c r="B1155" s="4"/>
      <c r="C1155" s="4"/>
      <c r="D1155" s="5"/>
      <c r="E1155" s="4"/>
      <c r="F1155" s="4"/>
      <c r="G1155" s="6"/>
      <c r="H1155" s="6"/>
      <c r="I1155" s="6"/>
      <c r="J1155" s="6"/>
    </row>
    <row r="1156" spans="1:10" ht="13.5" thickBot="1">
      <c r="A1156" s="4"/>
      <c r="B1156" s="4"/>
      <c r="C1156" s="4"/>
      <c r="D1156" s="5"/>
      <c r="E1156" s="4"/>
      <c r="F1156" s="4"/>
      <c r="G1156" s="6"/>
      <c r="H1156" s="6"/>
      <c r="I1156" s="6"/>
      <c r="J1156" s="6"/>
    </row>
    <row r="1157" spans="1:10" ht="13.5" thickBot="1">
      <c r="A1157" s="4"/>
      <c r="B1157" s="4"/>
      <c r="C1157" s="4"/>
      <c r="D1157" s="5"/>
      <c r="E1157" s="4"/>
      <c r="F1157" s="4"/>
      <c r="G1157" s="6"/>
      <c r="H1157" s="6"/>
      <c r="I1157" s="6"/>
      <c r="J1157" s="6"/>
    </row>
    <row r="1158" spans="1:10" ht="13.5" thickBot="1">
      <c r="A1158" s="4"/>
      <c r="B1158" s="4"/>
      <c r="C1158" s="4"/>
      <c r="D1158" s="5"/>
      <c r="E1158" s="4"/>
      <c r="F1158" s="4"/>
      <c r="G1158" s="6"/>
      <c r="H1158" s="6"/>
      <c r="I1158" s="6"/>
      <c r="J1158" s="6"/>
    </row>
    <row r="1159" spans="1:10" ht="13.5" thickBot="1">
      <c r="A1159" s="4"/>
      <c r="B1159" s="4"/>
      <c r="C1159" s="4"/>
      <c r="D1159" s="5"/>
      <c r="E1159" s="4"/>
      <c r="F1159" s="4"/>
      <c r="G1159" s="6"/>
      <c r="H1159" s="6"/>
      <c r="I1159" s="6"/>
      <c r="J1159" s="6"/>
    </row>
    <row r="1160" spans="1:10" ht="13.5" thickBot="1">
      <c r="A1160" s="4"/>
      <c r="B1160" s="4"/>
      <c r="C1160" s="4"/>
      <c r="D1160" s="5"/>
      <c r="E1160" s="4"/>
      <c r="F1160" s="4"/>
      <c r="G1160" s="6"/>
      <c r="H1160" s="6"/>
      <c r="I1160" s="6"/>
      <c r="J1160" s="6"/>
    </row>
    <row r="1161" spans="1:10" ht="13.5" thickBot="1">
      <c r="A1161" s="4"/>
      <c r="B1161" s="4"/>
      <c r="C1161" s="4"/>
      <c r="D1161" s="5"/>
      <c r="E1161" s="4"/>
      <c r="F1161" s="4"/>
      <c r="G1161" s="6"/>
      <c r="H1161" s="6"/>
      <c r="I1161" s="6"/>
      <c r="J1161" s="6"/>
    </row>
    <row r="1162" spans="1:10" ht="13.5" thickBot="1">
      <c r="A1162" s="4"/>
      <c r="B1162" s="4"/>
      <c r="C1162" s="4"/>
      <c r="D1162" s="5"/>
      <c r="E1162" s="4"/>
      <c r="F1162" s="4"/>
      <c r="G1162" s="6"/>
      <c r="H1162" s="6"/>
      <c r="I1162" s="6"/>
      <c r="J1162" s="6"/>
    </row>
    <row r="1163" spans="1:10" ht="13.5" thickBot="1">
      <c r="A1163" s="4"/>
      <c r="B1163" s="4"/>
      <c r="C1163" s="4"/>
      <c r="D1163" s="5"/>
      <c r="E1163" s="4"/>
      <c r="F1163" s="4"/>
      <c r="G1163" s="6"/>
      <c r="H1163" s="6"/>
      <c r="I1163" s="6"/>
      <c r="J1163" s="6"/>
    </row>
    <row r="1164" spans="1:10" ht="13.5" thickBot="1">
      <c r="A1164" s="4"/>
      <c r="B1164" s="4"/>
      <c r="C1164" s="4"/>
      <c r="D1164" s="5"/>
      <c r="E1164" s="4"/>
      <c r="F1164" s="4"/>
      <c r="G1164" s="6"/>
      <c r="H1164" s="6"/>
      <c r="I1164" s="6"/>
      <c r="J1164" s="6"/>
    </row>
    <row r="1165" spans="1:10" ht="13.5" thickBot="1">
      <c r="A1165" s="4"/>
      <c r="B1165" s="4"/>
      <c r="C1165" s="4"/>
      <c r="D1165" s="5"/>
      <c r="E1165" s="4"/>
      <c r="F1165" s="4"/>
      <c r="G1165" s="6"/>
      <c r="H1165" s="6"/>
      <c r="I1165" s="6"/>
      <c r="J1165" s="6"/>
    </row>
    <row r="1166" spans="1:10" ht="13.5" thickBot="1">
      <c r="A1166" s="4"/>
      <c r="B1166" s="4"/>
      <c r="C1166" s="4"/>
      <c r="D1166" s="5"/>
      <c r="E1166" s="4"/>
      <c r="F1166" s="4"/>
      <c r="G1166" s="6"/>
      <c r="H1166" s="6"/>
      <c r="I1166" s="6"/>
      <c r="J1166" s="6"/>
    </row>
    <row r="1167" spans="1:10" ht="13.5" thickBot="1">
      <c r="A1167" s="4"/>
      <c r="B1167" s="4"/>
      <c r="C1167" s="4"/>
      <c r="D1167" s="5"/>
      <c r="E1167" s="4"/>
      <c r="F1167" s="4"/>
      <c r="G1167" s="6"/>
      <c r="H1167" s="6"/>
      <c r="I1167" s="6"/>
      <c r="J1167" s="6"/>
    </row>
    <row r="1168" spans="1:10" ht="13.5" thickBot="1">
      <c r="A1168" s="4"/>
      <c r="B1168" s="4"/>
      <c r="C1168" s="4"/>
      <c r="D1168" s="5"/>
      <c r="E1168" s="4"/>
      <c r="F1168" s="4"/>
      <c r="G1168" s="6"/>
      <c r="H1168" s="6"/>
      <c r="I1168" s="6"/>
      <c r="J1168" s="6"/>
    </row>
    <row r="1169" spans="1:10" ht="13.5" thickBot="1">
      <c r="A1169" s="4"/>
      <c r="B1169" s="4"/>
      <c r="C1169" s="4"/>
      <c r="D1169" s="5"/>
      <c r="E1169" s="4"/>
      <c r="F1169" s="4"/>
      <c r="G1169" s="6"/>
      <c r="H1169" s="6"/>
      <c r="I1169" s="6"/>
      <c r="J1169" s="6"/>
    </row>
    <row r="1170" spans="1:10" ht="13.5" thickBot="1">
      <c r="A1170" s="4"/>
      <c r="B1170" s="4"/>
      <c r="C1170" s="4"/>
      <c r="D1170" s="5"/>
      <c r="E1170" s="4"/>
      <c r="F1170" s="4"/>
      <c r="G1170" s="6"/>
      <c r="H1170" s="6"/>
      <c r="I1170" s="6"/>
      <c r="J1170" s="6"/>
    </row>
    <row r="1171" spans="1:10" ht="13.5" thickBot="1">
      <c r="A1171" s="4"/>
      <c r="B1171" s="4"/>
      <c r="C1171" s="4"/>
      <c r="D1171" s="5"/>
      <c r="E1171" s="4"/>
      <c r="F1171" s="4"/>
      <c r="G1171" s="6"/>
      <c r="H1171" s="6"/>
      <c r="I1171" s="6"/>
      <c r="J1171" s="6"/>
    </row>
    <row r="1172" spans="1:10" ht="13.5" thickBot="1">
      <c r="A1172" s="4"/>
      <c r="B1172" s="4"/>
      <c r="C1172" s="4"/>
      <c r="D1172" s="5"/>
      <c r="E1172" s="4"/>
      <c r="F1172" s="4"/>
      <c r="G1172" s="6"/>
      <c r="H1172" s="6"/>
      <c r="I1172" s="6"/>
      <c r="J1172" s="6"/>
    </row>
    <row r="1173" spans="1:10" ht="13.5" thickBot="1">
      <c r="A1173" s="4"/>
      <c r="B1173" s="4"/>
      <c r="C1173" s="4"/>
      <c r="D1173" s="5"/>
      <c r="E1173" s="4"/>
      <c r="F1173" s="4"/>
      <c r="G1173" s="6"/>
      <c r="H1173" s="6"/>
      <c r="I1173" s="6"/>
      <c r="J1173" s="6"/>
    </row>
    <row r="1174" spans="1:10" ht="13.5" thickBot="1">
      <c r="A1174" s="4"/>
      <c r="B1174" s="4"/>
      <c r="C1174" s="4"/>
      <c r="D1174" s="5"/>
      <c r="E1174" s="4"/>
      <c r="F1174" s="4"/>
      <c r="G1174" s="6"/>
      <c r="H1174" s="6"/>
      <c r="I1174" s="6"/>
      <c r="J1174" s="6"/>
    </row>
    <row r="1175" spans="1:10" ht="13.5" thickBot="1">
      <c r="A1175" s="4"/>
      <c r="B1175" s="4"/>
      <c r="C1175" s="4"/>
      <c r="D1175" s="5"/>
      <c r="E1175" s="4"/>
      <c r="F1175" s="4"/>
      <c r="G1175" s="6"/>
      <c r="H1175" s="6"/>
      <c r="I1175" s="6"/>
      <c r="J1175" s="6"/>
    </row>
    <row r="1176" spans="1:10" ht="13.5" thickBot="1">
      <c r="A1176" s="4"/>
      <c r="B1176" s="4"/>
      <c r="C1176" s="4"/>
      <c r="D1176" s="5"/>
      <c r="E1176" s="4"/>
      <c r="F1176" s="4"/>
      <c r="G1176" s="6"/>
      <c r="H1176" s="6"/>
      <c r="I1176" s="6"/>
      <c r="J1176" s="6"/>
    </row>
    <row r="1177" spans="1:10" ht="13.5" thickBot="1">
      <c r="A1177" s="4"/>
      <c r="B1177" s="4"/>
      <c r="C1177" s="4"/>
      <c r="D1177" s="5"/>
      <c r="E1177" s="4"/>
      <c r="F1177" s="4"/>
      <c r="G1177" s="6"/>
      <c r="H1177" s="6"/>
      <c r="I1177" s="6"/>
      <c r="J1177" s="6"/>
    </row>
    <row r="1178" spans="1:10" ht="13.5" thickBot="1">
      <c r="A1178" s="4"/>
      <c r="B1178" s="4"/>
      <c r="C1178" s="4"/>
      <c r="D1178" s="5"/>
      <c r="E1178" s="4"/>
      <c r="F1178" s="4"/>
      <c r="G1178" s="6"/>
      <c r="H1178" s="6"/>
      <c r="I1178" s="6"/>
      <c r="J1178" s="6"/>
    </row>
    <row r="1179" spans="1:10" ht="13.5" thickBot="1">
      <c r="A1179" s="4"/>
      <c r="B1179" s="4"/>
      <c r="C1179" s="4"/>
      <c r="D1179" s="5"/>
      <c r="E1179" s="4"/>
      <c r="F1179" s="4"/>
      <c r="G1179" s="6"/>
      <c r="H1179" s="6"/>
      <c r="I1179" s="6"/>
      <c r="J1179" s="6"/>
    </row>
    <row r="1180" spans="1:10" ht="13.5" thickBot="1">
      <c r="A1180" s="4"/>
      <c r="B1180" s="4"/>
      <c r="C1180" s="4"/>
      <c r="D1180" s="5"/>
      <c r="E1180" s="4"/>
      <c r="F1180" s="4"/>
      <c r="G1180" s="6"/>
      <c r="H1180" s="6"/>
      <c r="I1180" s="6"/>
      <c r="J1180" s="6"/>
    </row>
    <row r="1181" spans="1:10" ht="13.5" thickBot="1">
      <c r="A1181" s="4"/>
      <c r="B1181" s="4"/>
      <c r="C1181" s="4"/>
      <c r="D1181" s="5"/>
      <c r="E1181" s="4"/>
      <c r="F1181" s="4"/>
      <c r="G1181" s="6"/>
      <c r="H1181" s="6"/>
      <c r="I1181" s="6"/>
      <c r="J1181" s="6"/>
    </row>
    <row r="1182" spans="1:10" ht="13.5" thickBot="1">
      <c r="A1182" s="4"/>
      <c r="B1182" s="4"/>
      <c r="C1182" s="4"/>
      <c r="D1182" s="5"/>
      <c r="E1182" s="4"/>
      <c r="F1182" s="4"/>
      <c r="G1182" s="6"/>
      <c r="H1182" s="6"/>
      <c r="I1182" s="6"/>
      <c r="J1182" s="6"/>
    </row>
    <row r="1183" spans="1:10" ht="13.5" thickBot="1">
      <c r="A1183" s="4"/>
      <c r="B1183" s="4"/>
      <c r="C1183" s="4"/>
      <c r="D1183" s="5"/>
      <c r="E1183" s="4"/>
      <c r="F1183" s="4"/>
      <c r="G1183" s="6"/>
      <c r="H1183" s="6"/>
      <c r="I1183" s="6"/>
      <c r="J1183" s="6"/>
    </row>
    <row r="1184" spans="1:10" ht="13.5" thickBot="1">
      <c r="A1184" s="4"/>
      <c r="B1184" s="4"/>
      <c r="C1184" s="4"/>
      <c r="D1184" s="5"/>
      <c r="E1184" s="4"/>
      <c r="F1184" s="4"/>
      <c r="G1184" s="6"/>
      <c r="H1184" s="6"/>
      <c r="I1184" s="6"/>
      <c r="J1184" s="6"/>
    </row>
    <row r="1185" spans="1:10" ht="13.5" thickBot="1">
      <c r="A1185" s="4"/>
      <c r="B1185" s="4"/>
      <c r="C1185" s="4"/>
      <c r="D1185" s="5"/>
      <c r="E1185" s="4"/>
      <c r="F1185" s="4"/>
      <c r="G1185" s="6"/>
      <c r="H1185" s="6"/>
      <c r="I1185" s="6"/>
      <c r="J1185" s="6"/>
    </row>
    <row r="1186" spans="1:10" ht="13.5" thickBot="1">
      <c r="A1186" s="4"/>
      <c r="B1186" s="4"/>
      <c r="C1186" s="4"/>
      <c r="D1186" s="5"/>
      <c r="E1186" s="4"/>
      <c r="F1186" s="4"/>
      <c r="G1186" s="6"/>
      <c r="H1186" s="6"/>
      <c r="I1186" s="6"/>
      <c r="J1186" s="6"/>
    </row>
    <row r="1187" spans="1:10" ht="13.5" thickBot="1">
      <c r="A1187" s="4"/>
      <c r="B1187" s="4"/>
      <c r="C1187" s="4"/>
      <c r="D1187" s="5"/>
      <c r="E1187" s="4"/>
      <c r="F1187" s="4"/>
      <c r="G1187" s="6"/>
      <c r="H1187" s="6"/>
      <c r="I1187" s="6"/>
      <c r="J1187" s="6"/>
    </row>
    <row r="1188" spans="1:10" ht="13.5" thickBot="1">
      <c r="A1188" s="4"/>
      <c r="B1188" s="4"/>
      <c r="C1188" s="4"/>
      <c r="D1188" s="5"/>
      <c r="E1188" s="4"/>
      <c r="F1188" s="4"/>
      <c r="G1188" s="6"/>
      <c r="H1188" s="6"/>
      <c r="I1188" s="6"/>
      <c r="J1188" s="6"/>
    </row>
    <row r="1189" spans="1:10" ht="13.5" thickBot="1">
      <c r="A1189" s="4"/>
      <c r="B1189" s="4"/>
      <c r="C1189" s="4"/>
      <c r="D1189" s="5"/>
      <c r="E1189" s="4"/>
      <c r="F1189" s="4"/>
      <c r="G1189" s="6"/>
      <c r="H1189" s="6"/>
      <c r="I1189" s="6"/>
      <c r="J1189" s="6"/>
    </row>
    <row r="1190" spans="1:10" ht="13.5" thickBot="1">
      <c r="A1190" s="4"/>
      <c r="B1190" s="4"/>
      <c r="C1190" s="4"/>
      <c r="D1190" s="5"/>
      <c r="E1190" s="4"/>
      <c r="F1190" s="4"/>
      <c r="G1190" s="6"/>
      <c r="H1190" s="6"/>
      <c r="I1190" s="6"/>
      <c r="J1190" s="6"/>
    </row>
    <row r="1191" spans="1:10" ht="13.5" thickBot="1">
      <c r="A1191" s="4"/>
      <c r="B1191" s="4"/>
      <c r="C1191" s="4"/>
      <c r="D1191" s="5"/>
      <c r="E1191" s="4"/>
      <c r="F1191" s="4"/>
      <c r="G1191" s="6"/>
      <c r="H1191" s="6"/>
      <c r="I1191" s="6"/>
      <c r="J1191" s="6"/>
    </row>
    <row r="1192" spans="1:10" ht="13.5" thickBot="1">
      <c r="A1192" s="4"/>
      <c r="B1192" s="4"/>
      <c r="C1192" s="4"/>
      <c r="D1192" s="5"/>
      <c r="E1192" s="4"/>
      <c r="F1192" s="4"/>
      <c r="G1192" s="6"/>
      <c r="H1192" s="6"/>
      <c r="I1192" s="6"/>
      <c r="J1192" s="6"/>
    </row>
    <row r="1193" spans="1:10" ht="13.5" thickBot="1">
      <c r="A1193" s="4"/>
      <c r="B1193" s="4"/>
      <c r="C1193" s="4"/>
      <c r="D1193" s="5"/>
      <c r="E1193" s="4"/>
      <c r="F1193" s="4"/>
      <c r="G1193" s="6"/>
      <c r="H1193" s="6"/>
      <c r="I1193" s="6"/>
      <c r="J1193" s="6"/>
    </row>
    <row r="1194" spans="1:10" ht="13.5" thickBot="1">
      <c r="A1194" s="4"/>
      <c r="B1194" s="4"/>
      <c r="C1194" s="4"/>
      <c r="D1194" s="5"/>
      <c r="E1194" s="4"/>
      <c r="F1194" s="4"/>
      <c r="G1194" s="6"/>
      <c r="H1194" s="6"/>
      <c r="I1194" s="6"/>
      <c r="J1194" s="6"/>
    </row>
    <row r="1195" spans="1:10" ht="13.5" thickBot="1">
      <c r="A1195" s="4"/>
      <c r="B1195" s="4"/>
      <c r="C1195" s="4"/>
      <c r="D1195" s="5"/>
      <c r="E1195" s="4"/>
      <c r="F1195" s="4"/>
      <c r="G1195" s="6"/>
      <c r="H1195" s="6"/>
      <c r="I1195" s="6"/>
      <c r="J1195" s="6"/>
    </row>
    <row r="1196" spans="1:10" ht="13.5" thickBot="1">
      <c r="A1196" s="4"/>
      <c r="B1196" s="4"/>
      <c r="C1196" s="4"/>
      <c r="D1196" s="5"/>
      <c r="E1196" s="4"/>
      <c r="F1196" s="4"/>
      <c r="G1196" s="6"/>
      <c r="H1196" s="6"/>
      <c r="I1196" s="6"/>
      <c r="J1196" s="6"/>
    </row>
    <row r="1197" spans="1:10" ht="13.5" thickBot="1">
      <c r="A1197" s="4"/>
      <c r="B1197" s="4"/>
      <c r="C1197" s="4"/>
      <c r="D1197" s="5"/>
      <c r="E1197" s="4"/>
      <c r="F1197" s="4"/>
      <c r="G1197" s="6"/>
      <c r="H1197" s="6"/>
      <c r="I1197" s="6"/>
      <c r="J1197" s="6"/>
    </row>
    <row r="1198" spans="1:10" ht="13.5" thickBot="1">
      <c r="A1198" s="4"/>
      <c r="B1198" s="4"/>
      <c r="C1198" s="4"/>
      <c r="D1198" s="5"/>
      <c r="E1198" s="4"/>
      <c r="F1198" s="4"/>
      <c r="G1198" s="6"/>
      <c r="H1198" s="6"/>
      <c r="I1198" s="6"/>
      <c r="J1198" s="6"/>
    </row>
    <row r="1199" spans="1:10" ht="13.5" thickBot="1">
      <c r="A1199" s="4"/>
      <c r="B1199" s="4"/>
      <c r="C1199" s="4"/>
      <c r="D1199" s="5"/>
      <c r="E1199" s="4"/>
      <c r="F1199" s="4"/>
      <c r="G1199" s="6"/>
      <c r="H1199" s="6"/>
      <c r="I1199" s="6"/>
      <c r="J1199" s="6"/>
    </row>
    <row r="1200" spans="1:10" ht="13.5" thickBot="1">
      <c r="A1200" s="4"/>
      <c r="B1200" s="4"/>
      <c r="C1200" s="4"/>
      <c r="D1200" s="5"/>
      <c r="E1200" s="4"/>
      <c r="F1200" s="4"/>
      <c r="G1200" s="6"/>
      <c r="H1200" s="6"/>
      <c r="I1200" s="6"/>
      <c r="J1200" s="6"/>
    </row>
    <row r="1201" spans="1:10" ht="13.5" thickBot="1">
      <c r="A1201" s="4"/>
      <c r="B1201" s="4"/>
      <c r="C1201" s="4"/>
      <c r="D1201" s="5"/>
      <c r="E1201" s="4"/>
      <c r="F1201" s="4"/>
      <c r="G1201" s="6"/>
      <c r="H1201" s="6"/>
      <c r="I1201" s="6"/>
      <c r="J1201" s="6"/>
    </row>
    <row r="1202" spans="1:10" ht="13.5" thickBot="1">
      <c r="A1202" s="4"/>
      <c r="B1202" s="4"/>
      <c r="C1202" s="4"/>
      <c r="D1202" s="5"/>
      <c r="E1202" s="4"/>
      <c r="F1202" s="4"/>
      <c r="G1202" s="6"/>
      <c r="H1202" s="6"/>
      <c r="I1202" s="6"/>
      <c r="J1202" s="6"/>
    </row>
    <row r="1203" spans="1:10" ht="13.5" thickBot="1">
      <c r="A1203" s="4"/>
      <c r="B1203" s="4"/>
      <c r="C1203" s="4"/>
      <c r="D1203" s="5"/>
      <c r="E1203" s="4"/>
      <c r="F1203" s="4"/>
      <c r="G1203" s="6"/>
      <c r="H1203" s="6"/>
      <c r="I1203" s="6"/>
      <c r="J1203" s="6"/>
    </row>
    <row r="1204" spans="1:10" ht="13.5" thickBot="1">
      <c r="A1204" s="4"/>
      <c r="B1204" s="4"/>
      <c r="C1204" s="4"/>
      <c r="D1204" s="5"/>
      <c r="E1204" s="4"/>
      <c r="F1204" s="4"/>
      <c r="G1204" s="6"/>
      <c r="H1204" s="6"/>
      <c r="I1204" s="6"/>
      <c r="J1204" s="6"/>
    </row>
    <row r="1205" spans="1:10" ht="13.5" thickBot="1">
      <c r="A1205" s="4"/>
      <c r="B1205" s="4"/>
      <c r="C1205" s="4"/>
      <c r="D1205" s="5"/>
      <c r="E1205" s="4"/>
      <c r="F1205" s="4"/>
      <c r="G1205" s="6"/>
      <c r="H1205" s="6"/>
      <c r="I1205" s="6"/>
      <c r="J1205" s="6"/>
    </row>
    <row r="1206" spans="1:10" ht="13.5" thickBot="1">
      <c r="A1206" s="4"/>
      <c r="B1206" s="4"/>
      <c r="C1206" s="4"/>
      <c r="D1206" s="5"/>
      <c r="E1206" s="4"/>
      <c r="F1206" s="4"/>
      <c r="G1206" s="6"/>
      <c r="H1206" s="6"/>
      <c r="I1206" s="6"/>
      <c r="J1206" s="6"/>
    </row>
    <row r="1207" spans="1:10" ht="13.5" thickBot="1">
      <c r="A1207" s="4"/>
      <c r="B1207" s="4"/>
      <c r="C1207" s="4"/>
      <c r="D1207" s="5"/>
      <c r="E1207" s="4"/>
      <c r="F1207" s="4"/>
      <c r="G1207" s="6"/>
      <c r="H1207" s="6"/>
      <c r="I1207" s="6"/>
      <c r="J1207" s="6"/>
    </row>
    <row r="1208" spans="1:10" ht="13.5" thickBot="1">
      <c r="A1208" s="4"/>
      <c r="B1208" s="4"/>
      <c r="C1208" s="4"/>
      <c r="D1208" s="5"/>
      <c r="E1208" s="4"/>
      <c r="F1208" s="4"/>
      <c r="G1208" s="6"/>
      <c r="H1208" s="6"/>
      <c r="I1208" s="6"/>
      <c r="J1208" s="6"/>
    </row>
    <row r="1209" spans="1:10" ht="13.5" thickBot="1">
      <c r="A1209" s="4"/>
      <c r="B1209" s="4"/>
      <c r="C1209" s="4"/>
      <c r="D1209" s="5"/>
      <c r="E1209" s="4"/>
      <c r="F1209" s="4"/>
      <c r="G1209" s="6"/>
      <c r="H1209" s="6"/>
      <c r="I1209" s="6"/>
      <c r="J1209" s="6"/>
    </row>
    <row r="1210" spans="1:10" ht="13.5" thickBot="1">
      <c r="A1210" s="4"/>
      <c r="B1210" s="4"/>
      <c r="C1210" s="4"/>
      <c r="D1210" s="5"/>
      <c r="E1210" s="4"/>
      <c r="F1210" s="4"/>
      <c r="G1210" s="6"/>
      <c r="H1210" s="6"/>
      <c r="I1210" s="6"/>
      <c r="J1210" s="6"/>
    </row>
    <row r="1211" spans="1:10" ht="13.5" thickBot="1">
      <c r="A1211" s="4"/>
      <c r="B1211" s="4"/>
      <c r="C1211" s="4"/>
      <c r="D1211" s="5"/>
      <c r="E1211" s="4"/>
      <c r="F1211" s="4"/>
      <c r="G1211" s="6"/>
      <c r="H1211" s="6"/>
      <c r="I1211" s="6"/>
      <c r="J1211" s="6"/>
    </row>
    <row r="1212" spans="1:10" ht="13.5" thickBot="1">
      <c r="A1212" s="4"/>
      <c r="B1212" s="4"/>
      <c r="C1212" s="4"/>
      <c r="D1212" s="5"/>
      <c r="E1212" s="4"/>
      <c r="F1212" s="4"/>
      <c r="G1212" s="6"/>
      <c r="H1212" s="6"/>
      <c r="I1212" s="6"/>
      <c r="J1212" s="6"/>
    </row>
    <row r="1213" spans="1:10" ht="13.5" thickBot="1">
      <c r="A1213" s="4"/>
      <c r="B1213" s="4"/>
      <c r="C1213" s="4"/>
      <c r="D1213" s="5"/>
      <c r="E1213" s="4"/>
      <c r="F1213" s="4"/>
      <c r="G1213" s="6"/>
      <c r="H1213" s="6"/>
      <c r="I1213" s="6"/>
      <c r="J1213" s="6"/>
    </row>
    <row r="1214" spans="1:10" ht="13.5" thickBot="1">
      <c r="A1214" s="4"/>
      <c r="B1214" s="4"/>
      <c r="C1214" s="4"/>
      <c r="D1214" s="5"/>
      <c r="E1214" s="4"/>
      <c r="F1214" s="4"/>
      <c r="G1214" s="6"/>
      <c r="H1214" s="6"/>
      <c r="I1214" s="6"/>
      <c r="J1214" s="6"/>
    </row>
    <row r="1215" spans="1:10" ht="13.5" thickBot="1">
      <c r="A1215" s="4"/>
      <c r="B1215" s="4"/>
      <c r="C1215" s="4"/>
      <c r="D1215" s="5"/>
      <c r="E1215" s="4"/>
      <c r="F1215" s="4"/>
      <c r="G1215" s="6"/>
      <c r="H1215" s="6"/>
      <c r="I1215" s="6"/>
      <c r="J1215" s="6"/>
    </row>
    <row r="1216" spans="1:10" ht="13.5" thickBot="1">
      <c r="A1216" s="4"/>
      <c r="B1216" s="4"/>
      <c r="C1216" s="4"/>
      <c r="D1216" s="5"/>
      <c r="E1216" s="4"/>
      <c r="F1216" s="4"/>
      <c r="G1216" s="6"/>
      <c r="H1216" s="6"/>
      <c r="I1216" s="6"/>
      <c r="J1216" s="6"/>
    </row>
    <row r="1217" spans="1:10" ht="13.5" thickBot="1">
      <c r="A1217" s="4"/>
      <c r="B1217" s="4"/>
      <c r="C1217" s="4"/>
      <c r="D1217" s="5"/>
      <c r="E1217" s="4"/>
      <c r="F1217" s="4"/>
      <c r="G1217" s="6"/>
      <c r="H1217" s="6"/>
      <c r="I1217" s="6"/>
      <c r="J1217" s="6"/>
    </row>
    <row r="1218" spans="1:10" ht="13.5" thickBot="1">
      <c r="A1218" s="4"/>
      <c r="B1218" s="4"/>
      <c r="C1218" s="4"/>
      <c r="D1218" s="5"/>
      <c r="E1218" s="4"/>
      <c r="F1218" s="4"/>
      <c r="G1218" s="6"/>
      <c r="H1218" s="6"/>
      <c r="I1218" s="6"/>
      <c r="J1218" s="6"/>
    </row>
    <row r="1219" spans="1:10" ht="13.5" thickBot="1">
      <c r="A1219" s="4"/>
      <c r="B1219" s="4"/>
      <c r="C1219" s="4"/>
      <c r="D1219" s="5"/>
      <c r="E1219" s="4"/>
      <c r="F1219" s="4"/>
      <c r="G1219" s="6"/>
      <c r="H1219" s="6"/>
      <c r="I1219" s="6"/>
      <c r="J1219" s="6"/>
    </row>
    <row r="1220" spans="1:10" ht="13.5" thickBot="1">
      <c r="A1220" s="4"/>
      <c r="B1220" s="4"/>
      <c r="C1220" s="4"/>
      <c r="D1220" s="5"/>
      <c r="E1220" s="4"/>
      <c r="F1220" s="4"/>
      <c r="G1220" s="6"/>
      <c r="H1220" s="6"/>
      <c r="I1220" s="6"/>
      <c r="J1220" s="6"/>
    </row>
    <row r="1221" spans="1:10" ht="13.5" thickBot="1">
      <c r="A1221" s="4"/>
      <c r="B1221" s="4"/>
      <c r="C1221" s="4"/>
      <c r="D1221" s="5"/>
      <c r="E1221" s="4"/>
      <c r="F1221" s="4"/>
      <c r="G1221" s="6"/>
      <c r="H1221" s="6"/>
      <c r="I1221" s="6"/>
      <c r="J1221" s="6"/>
    </row>
    <row r="1222" spans="1:10" ht="13.5" thickBot="1">
      <c r="A1222" s="4"/>
      <c r="B1222" s="4"/>
      <c r="C1222" s="4"/>
      <c r="D1222" s="5"/>
      <c r="E1222" s="4"/>
      <c r="F1222" s="4"/>
      <c r="G1222" s="6"/>
      <c r="H1222" s="6"/>
      <c r="I1222" s="6"/>
      <c r="J1222" s="6"/>
    </row>
    <row r="1223" spans="1:10" ht="13.5" thickBot="1">
      <c r="A1223" s="4"/>
      <c r="B1223" s="4"/>
      <c r="C1223" s="4"/>
      <c r="D1223" s="5"/>
      <c r="E1223" s="4"/>
      <c r="F1223" s="4"/>
      <c r="G1223" s="6"/>
      <c r="H1223" s="6"/>
      <c r="I1223" s="6"/>
      <c r="J1223" s="6"/>
    </row>
    <row r="1224" spans="1:10" ht="13.5" thickBot="1">
      <c r="A1224" s="4"/>
      <c r="B1224" s="4"/>
      <c r="C1224" s="4"/>
      <c r="D1224" s="5"/>
      <c r="E1224" s="4"/>
      <c r="F1224" s="4"/>
      <c r="G1224" s="6"/>
      <c r="H1224" s="6"/>
      <c r="I1224" s="6"/>
      <c r="J1224" s="6"/>
    </row>
    <row r="1225" spans="1:10" ht="13.5" thickBot="1">
      <c r="A1225" s="4"/>
      <c r="B1225" s="4"/>
      <c r="C1225" s="4"/>
      <c r="D1225" s="5"/>
      <c r="E1225" s="4"/>
      <c r="F1225" s="4"/>
      <c r="G1225" s="6"/>
      <c r="H1225" s="6"/>
      <c r="I1225" s="6"/>
      <c r="J1225" s="6"/>
    </row>
    <row r="1226" spans="1:10" ht="13.5" thickBot="1">
      <c r="A1226" s="4"/>
      <c r="B1226" s="4"/>
      <c r="C1226" s="4"/>
      <c r="D1226" s="5"/>
      <c r="E1226" s="4"/>
      <c r="F1226" s="4"/>
      <c r="G1226" s="6"/>
      <c r="H1226" s="6"/>
      <c r="I1226" s="6"/>
      <c r="J1226" s="6"/>
    </row>
    <row r="1227" spans="1:10" ht="13.5" thickBot="1">
      <c r="A1227" s="4"/>
      <c r="B1227" s="4"/>
      <c r="C1227" s="4"/>
      <c r="D1227" s="5"/>
      <c r="E1227" s="4"/>
      <c r="F1227" s="4"/>
      <c r="G1227" s="6"/>
      <c r="H1227" s="6"/>
      <c r="I1227" s="6"/>
      <c r="J1227" s="6"/>
    </row>
    <row r="1228" spans="1:10" ht="13.5" thickBot="1">
      <c r="A1228" s="4"/>
      <c r="B1228" s="4"/>
      <c r="C1228" s="4"/>
      <c r="D1228" s="5"/>
      <c r="E1228" s="4"/>
      <c r="F1228" s="4"/>
      <c r="G1228" s="6"/>
      <c r="H1228" s="6"/>
      <c r="I1228" s="6"/>
      <c r="J1228" s="6"/>
    </row>
    <row r="1229" spans="1:10" ht="13.5" thickBot="1">
      <c r="A1229" s="4"/>
      <c r="B1229" s="4"/>
      <c r="C1229" s="4"/>
      <c r="D1229" s="5"/>
      <c r="E1229" s="4"/>
      <c r="F1229" s="4"/>
      <c r="G1229" s="6"/>
      <c r="H1229" s="6"/>
      <c r="I1229" s="6"/>
      <c r="J1229" s="6"/>
    </row>
    <row r="1230" spans="1:10" ht="13.5" thickBot="1">
      <c r="A1230" s="4"/>
      <c r="B1230" s="4"/>
      <c r="C1230" s="4"/>
      <c r="D1230" s="5"/>
      <c r="E1230" s="4"/>
      <c r="F1230" s="4"/>
      <c r="G1230" s="6"/>
      <c r="H1230" s="6"/>
      <c r="I1230" s="6"/>
      <c r="J1230" s="6"/>
    </row>
    <row r="1231" spans="1:10" ht="13.5" thickBot="1">
      <c r="A1231" s="4"/>
      <c r="B1231" s="4"/>
      <c r="C1231" s="4"/>
      <c r="D1231" s="5"/>
      <c r="E1231" s="4"/>
      <c r="F1231" s="4"/>
      <c r="G1231" s="6"/>
      <c r="H1231" s="6"/>
      <c r="I1231" s="6"/>
      <c r="J1231" s="6"/>
    </row>
    <row r="1232" spans="1:10" ht="13.5" thickBot="1">
      <c r="A1232" s="4"/>
      <c r="B1232" s="4"/>
      <c r="C1232" s="4"/>
      <c r="D1232" s="5"/>
      <c r="E1232" s="4"/>
      <c r="F1232" s="4"/>
      <c r="G1232" s="6"/>
      <c r="H1232" s="6"/>
      <c r="I1232" s="6"/>
      <c r="J1232" s="6"/>
    </row>
    <row r="1233" spans="1:10" ht="13.5" thickBot="1">
      <c r="A1233" s="4"/>
      <c r="B1233" s="4"/>
      <c r="C1233" s="4"/>
      <c r="D1233" s="5"/>
      <c r="E1233" s="4"/>
      <c r="F1233" s="4"/>
      <c r="G1233" s="6"/>
      <c r="H1233" s="6"/>
      <c r="I1233" s="6"/>
      <c r="J1233" s="6"/>
    </row>
    <row r="1234" spans="1:10" ht="13.5" thickBot="1">
      <c r="A1234" s="4"/>
      <c r="B1234" s="4"/>
      <c r="C1234" s="4"/>
      <c r="D1234" s="5"/>
      <c r="E1234" s="4"/>
      <c r="F1234" s="4"/>
      <c r="G1234" s="6"/>
      <c r="H1234" s="6"/>
      <c r="I1234" s="6"/>
      <c r="J1234" s="6"/>
    </row>
    <row r="1235" spans="1:10" ht="13.5" thickBot="1">
      <c r="A1235" s="4"/>
      <c r="B1235" s="4"/>
      <c r="C1235" s="4"/>
      <c r="D1235" s="5"/>
      <c r="E1235" s="4"/>
      <c r="F1235" s="4"/>
      <c r="G1235" s="6"/>
      <c r="H1235" s="6"/>
      <c r="I1235" s="6"/>
      <c r="J1235" s="6"/>
    </row>
    <row r="1236" spans="1:10" ht="13.5" thickBot="1">
      <c r="A1236" s="4"/>
      <c r="B1236" s="4"/>
      <c r="C1236" s="4"/>
      <c r="D1236" s="5"/>
      <c r="E1236" s="4"/>
      <c r="F1236" s="4"/>
      <c r="G1236" s="6"/>
      <c r="H1236" s="6"/>
      <c r="I1236" s="6"/>
      <c r="J1236" s="6"/>
    </row>
    <row r="1237" spans="1:10" ht="13.5" thickBot="1">
      <c r="A1237" s="4"/>
      <c r="B1237" s="4"/>
      <c r="C1237" s="4"/>
      <c r="D1237" s="5"/>
      <c r="E1237" s="4"/>
      <c r="F1237" s="4"/>
      <c r="G1237" s="6"/>
      <c r="H1237" s="6"/>
      <c r="I1237" s="6"/>
      <c r="J1237" s="6"/>
    </row>
    <row r="1238" spans="1:10" ht="13.5" thickBot="1">
      <c r="A1238" s="4"/>
      <c r="B1238" s="4"/>
      <c r="C1238" s="4"/>
      <c r="D1238" s="5"/>
      <c r="E1238" s="4"/>
      <c r="F1238" s="4"/>
      <c r="G1238" s="6"/>
      <c r="H1238" s="6"/>
      <c r="I1238" s="6"/>
      <c r="J1238" s="6"/>
    </row>
    <row r="1239" spans="1:10" ht="13.5" thickBot="1">
      <c r="A1239" s="4"/>
      <c r="B1239" s="4"/>
      <c r="C1239" s="4"/>
      <c r="D1239" s="5"/>
      <c r="E1239" s="4"/>
      <c r="F1239" s="4"/>
      <c r="G1239" s="6"/>
      <c r="H1239" s="6"/>
      <c r="I1239" s="6"/>
      <c r="J1239" s="6"/>
    </row>
    <row r="1240" spans="1:10" ht="13.5" thickBot="1">
      <c r="A1240" s="4"/>
      <c r="B1240" s="4"/>
      <c r="C1240" s="4"/>
      <c r="D1240" s="5"/>
      <c r="E1240" s="4"/>
      <c r="F1240" s="4"/>
      <c r="G1240" s="6"/>
      <c r="H1240" s="6"/>
      <c r="I1240" s="6"/>
      <c r="J1240" s="6"/>
    </row>
    <row r="1241" spans="1:10" ht="13.5" thickBot="1">
      <c r="A1241" s="4"/>
      <c r="B1241" s="4"/>
      <c r="C1241" s="4"/>
      <c r="D1241" s="5"/>
      <c r="E1241" s="4"/>
      <c r="F1241" s="4"/>
      <c r="G1241" s="6"/>
      <c r="H1241" s="6"/>
      <c r="I1241" s="6"/>
      <c r="J1241" s="6"/>
    </row>
    <row r="1242" spans="1:10" ht="13.5" thickBot="1">
      <c r="A1242" s="4"/>
      <c r="B1242" s="4"/>
      <c r="C1242" s="4"/>
      <c r="D1242" s="5"/>
      <c r="E1242" s="4"/>
      <c r="F1242" s="4"/>
      <c r="G1242" s="6"/>
      <c r="H1242" s="6"/>
      <c r="I1242" s="6"/>
      <c r="J1242" s="6"/>
    </row>
    <row r="1243" spans="1:10" ht="13.5" thickBot="1">
      <c r="A1243" s="4"/>
      <c r="B1243" s="4"/>
      <c r="C1243" s="4"/>
      <c r="D1243" s="5"/>
      <c r="E1243" s="4"/>
      <c r="F1243" s="4"/>
      <c r="G1243" s="6"/>
      <c r="H1243" s="6"/>
      <c r="I1243" s="6"/>
      <c r="J1243" s="6"/>
    </row>
    <row r="1244" spans="1:10" ht="13.5" thickBot="1">
      <c r="A1244" s="4"/>
      <c r="B1244" s="4"/>
      <c r="C1244" s="4"/>
      <c r="D1244" s="5"/>
      <c r="E1244" s="4"/>
      <c r="F1244" s="4"/>
      <c r="G1244" s="6"/>
      <c r="H1244" s="6"/>
      <c r="I1244" s="6"/>
      <c r="J1244" s="6"/>
    </row>
    <row r="1245" spans="1:10" ht="13.5" thickBot="1">
      <c r="A1245" s="4"/>
      <c r="B1245" s="4"/>
      <c r="C1245" s="4"/>
      <c r="D1245" s="5"/>
      <c r="E1245" s="4"/>
      <c r="F1245" s="4"/>
      <c r="G1245" s="6"/>
      <c r="H1245" s="6"/>
      <c r="I1245" s="6"/>
      <c r="J1245" s="6"/>
    </row>
    <row r="1246" spans="1:10" ht="13.5" thickBot="1">
      <c r="A1246" s="4"/>
      <c r="B1246" s="4"/>
      <c r="C1246" s="4"/>
      <c r="D1246" s="5"/>
      <c r="E1246" s="4"/>
      <c r="F1246" s="4"/>
      <c r="G1246" s="6"/>
      <c r="H1246" s="6"/>
      <c r="I1246" s="6"/>
      <c r="J1246" s="6"/>
    </row>
    <row r="1247" spans="1:10" ht="13.5" thickBot="1">
      <c r="A1247" s="4"/>
      <c r="B1247" s="4"/>
      <c r="C1247" s="4"/>
      <c r="D1247" s="5"/>
      <c r="E1247" s="4"/>
      <c r="F1247" s="4"/>
      <c r="G1247" s="6"/>
      <c r="H1247" s="6"/>
      <c r="I1247" s="6"/>
      <c r="J1247" s="6"/>
    </row>
    <row r="1248" spans="1:10" ht="13.5" thickBot="1">
      <c r="A1248" s="4"/>
      <c r="B1248" s="4"/>
      <c r="C1248" s="4"/>
      <c r="D1248" s="5"/>
      <c r="E1248" s="4"/>
      <c r="F1248" s="4"/>
      <c r="G1248" s="6"/>
      <c r="H1248" s="6"/>
      <c r="I1248" s="6"/>
      <c r="J1248" s="6"/>
    </row>
    <row r="1249" spans="1:10" ht="13.5" thickBot="1">
      <c r="A1249" s="4"/>
      <c r="B1249" s="4"/>
      <c r="C1249" s="4"/>
      <c r="D1249" s="5"/>
      <c r="E1249" s="4"/>
      <c r="F1249" s="4"/>
      <c r="G1249" s="6"/>
      <c r="H1249" s="6"/>
      <c r="I1249" s="6"/>
      <c r="J1249" s="6"/>
    </row>
    <row r="1250" spans="1:10" ht="13.5" thickBot="1">
      <c r="A1250" s="4"/>
      <c r="B1250" s="4"/>
      <c r="C1250" s="4"/>
      <c r="D1250" s="5"/>
      <c r="E1250" s="4"/>
      <c r="F1250" s="4"/>
      <c r="G1250" s="6"/>
      <c r="H1250" s="6"/>
      <c r="I1250" s="6"/>
      <c r="J1250" s="6"/>
    </row>
    <row r="1251" spans="1:10" ht="13.5" thickBot="1">
      <c r="A1251" s="4"/>
      <c r="B1251" s="4"/>
      <c r="C1251" s="4"/>
      <c r="D1251" s="5"/>
      <c r="E1251" s="4"/>
      <c r="F1251" s="4"/>
      <c r="G1251" s="6"/>
      <c r="H1251" s="6"/>
      <c r="I1251" s="6"/>
      <c r="J1251" s="6"/>
    </row>
    <row r="1252" spans="1:10" ht="13.5" thickBot="1">
      <c r="A1252" s="4"/>
      <c r="B1252" s="4"/>
      <c r="C1252" s="4"/>
      <c r="D1252" s="5"/>
      <c r="E1252" s="4"/>
      <c r="F1252" s="4"/>
      <c r="G1252" s="6"/>
      <c r="H1252" s="6"/>
      <c r="I1252" s="6"/>
      <c r="J1252" s="6"/>
    </row>
    <row r="1253" spans="1:10" ht="13.5" thickBot="1">
      <c r="A1253" s="4"/>
      <c r="B1253" s="4"/>
      <c r="C1253" s="4"/>
      <c r="D1253" s="5"/>
      <c r="E1253" s="4"/>
      <c r="F1253" s="4"/>
      <c r="G1253" s="6"/>
      <c r="H1253" s="6"/>
      <c r="I1253" s="6"/>
      <c r="J1253" s="6"/>
    </row>
    <row r="1254" spans="1:10" ht="13.5" thickBot="1">
      <c r="A1254" s="4"/>
      <c r="B1254" s="4"/>
      <c r="C1254" s="4"/>
      <c r="D1254" s="5"/>
      <c r="E1254" s="4"/>
      <c r="F1254" s="4"/>
      <c r="G1254" s="6"/>
      <c r="H1254" s="6"/>
      <c r="I1254" s="6"/>
      <c r="J1254" s="6"/>
    </row>
    <row r="1255" spans="1:10" ht="13.5" thickBot="1">
      <c r="A1255" s="4"/>
      <c r="B1255" s="4"/>
      <c r="C1255" s="4"/>
      <c r="D1255" s="5"/>
      <c r="E1255" s="4"/>
      <c r="F1255" s="4"/>
      <c r="G1255" s="6"/>
      <c r="H1255" s="6"/>
      <c r="I1255" s="6"/>
      <c r="J1255" s="6"/>
    </row>
    <row r="1256" spans="1:10" ht="13.5" thickBot="1">
      <c r="A1256" s="4"/>
      <c r="B1256" s="4"/>
      <c r="C1256" s="4"/>
      <c r="D1256" s="5"/>
      <c r="E1256" s="4"/>
      <c r="F1256" s="4"/>
      <c r="G1256" s="6"/>
      <c r="H1256" s="6"/>
      <c r="I1256" s="6"/>
      <c r="J1256" s="6"/>
    </row>
    <row r="1257" spans="1:10" ht="13.5" thickBot="1">
      <c r="A1257" s="4"/>
      <c r="B1257" s="4"/>
      <c r="C1257" s="4"/>
      <c r="D1257" s="5"/>
      <c r="E1257" s="4"/>
      <c r="F1257" s="4"/>
      <c r="G1257" s="6"/>
      <c r="H1257" s="6"/>
      <c r="I1257" s="6"/>
      <c r="J1257" s="6"/>
    </row>
    <row r="1258" spans="1:10" ht="13.5" thickBot="1">
      <c r="A1258" s="4"/>
      <c r="B1258" s="4"/>
      <c r="C1258" s="4"/>
      <c r="D1258" s="5"/>
      <c r="E1258" s="4"/>
      <c r="F1258" s="4"/>
      <c r="G1258" s="6"/>
      <c r="H1258" s="6"/>
      <c r="I1258" s="6"/>
      <c r="J1258" s="6"/>
    </row>
    <row r="1259" spans="1:10" ht="13.5" thickBot="1">
      <c r="A1259" s="4"/>
      <c r="B1259" s="4"/>
      <c r="C1259" s="4"/>
      <c r="D1259" s="5"/>
      <c r="E1259" s="4"/>
      <c r="F1259" s="4"/>
      <c r="G1259" s="6"/>
      <c r="H1259" s="6"/>
      <c r="I1259" s="6"/>
      <c r="J1259" s="6"/>
    </row>
    <row r="1260" spans="1:10" ht="13.5" thickBot="1">
      <c r="A1260" s="4"/>
      <c r="B1260" s="4"/>
      <c r="C1260" s="4"/>
      <c r="D1260" s="5"/>
      <c r="E1260" s="4"/>
      <c r="F1260" s="4"/>
      <c r="G1260" s="6"/>
      <c r="H1260" s="6"/>
      <c r="I1260" s="6"/>
      <c r="J1260" s="6"/>
    </row>
    <row r="1261" spans="1:10" ht="13.5" thickBot="1">
      <c r="A1261" s="4"/>
      <c r="B1261" s="4"/>
      <c r="C1261" s="4"/>
      <c r="D1261" s="5"/>
      <c r="E1261" s="4"/>
      <c r="F1261" s="4"/>
      <c r="G1261" s="6"/>
      <c r="H1261" s="6"/>
      <c r="I1261" s="6"/>
      <c r="J1261" s="6"/>
    </row>
    <row r="1262" spans="1:10" ht="13.5" thickBot="1">
      <c r="A1262" s="4"/>
      <c r="B1262" s="4"/>
      <c r="C1262" s="4"/>
      <c r="D1262" s="5"/>
      <c r="E1262" s="4"/>
      <c r="F1262" s="4"/>
      <c r="G1262" s="6"/>
      <c r="H1262" s="6"/>
      <c r="I1262" s="6"/>
      <c r="J1262" s="6"/>
    </row>
    <row r="1263" spans="1:10" ht="13.5" thickBot="1">
      <c r="A1263" s="4"/>
      <c r="B1263" s="4"/>
      <c r="C1263" s="4"/>
      <c r="D1263" s="5"/>
      <c r="E1263" s="4"/>
      <c r="F1263" s="4"/>
      <c r="G1263" s="6"/>
      <c r="H1263" s="6"/>
      <c r="I1263" s="6"/>
      <c r="J1263" s="6"/>
    </row>
    <row r="1264" spans="1:10" ht="13.5" thickBot="1">
      <c r="A1264" s="4"/>
      <c r="B1264" s="4"/>
      <c r="C1264" s="4"/>
      <c r="D1264" s="5"/>
      <c r="E1264" s="4"/>
      <c r="F1264" s="4"/>
      <c r="G1264" s="6"/>
      <c r="H1264" s="6"/>
      <c r="I1264" s="6"/>
      <c r="J1264" s="6"/>
    </row>
    <row r="1265" spans="1:10" ht="13.5" thickBot="1">
      <c r="A1265" s="4"/>
      <c r="B1265" s="4"/>
      <c r="C1265" s="4"/>
      <c r="D1265" s="5"/>
      <c r="E1265" s="4"/>
      <c r="F1265" s="4"/>
      <c r="G1265" s="6"/>
      <c r="H1265" s="6"/>
      <c r="I1265" s="6"/>
      <c r="J1265" s="6"/>
    </row>
    <row r="1266" spans="1:10" ht="13.5" thickBot="1">
      <c r="A1266" s="4"/>
      <c r="B1266" s="4"/>
      <c r="C1266" s="4"/>
      <c r="D1266" s="5"/>
      <c r="E1266" s="4"/>
      <c r="F1266" s="4"/>
      <c r="G1266" s="6"/>
      <c r="H1266" s="6"/>
      <c r="I1266" s="6"/>
      <c r="J1266" s="6"/>
    </row>
    <row r="1267" spans="1:10" ht="13.5" thickBot="1">
      <c r="A1267" s="4"/>
      <c r="B1267" s="4"/>
      <c r="C1267" s="4"/>
      <c r="D1267" s="5"/>
      <c r="E1267" s="4"/>
      <c r="F1267" s="4"/>
      <c r="G1267" s="6"/>
      <c r="H1267" s="6"/>
      <c r="I1267" s="6"/>
      <c r="J1267" s="6"/>
    </row>
    <row r="1268" spans="1:10" ht="13.5" thickBot="1">
      <c r="A1268" s="4"/>
      <c r="B1268" s="4"/>
      <c r="C1268" s="4"/>
      <c r="D1268" s="5"/>
      <c r="E1268" s="4"/>
      <c r="F1268" s="4"/>
      <c r="G1268" s="6"/>
      <c r="H1268" s="6"/>
      <c r="I1268" s="6"/>
      <c r="J1268" s="6"/>
    </row>
    <row r="1269" spans="1:10" ht="13.5" thickBot="1">
      <c r="A1269" s="4"/>
      <c r="B1269" s="4"/>
      <c r="C1269" s="4"/>
      <c r="D1269" s="5"/>
      <c r="E1269" s="4"/>
      <c r="F1269" s="4"/>
      <c r="G1269" s="6"/>
      <c r="H1269" s="6"/>
      <c r="I1269" s="6"/>
      <c r="J1269" s="6"/>
    </row>
    <row r="1270" spans="1:10" ht="13.5" thickBot="1">
      <c r="A1270" s="4"/>
      <c r="B1270" s="4"/>
      <c r="C1270" s="4"/>
      <c r="D1270" s="5"/>
      <c r="E1270" s="4"/>
      <c r="F1270" s="4"/>
      <c r="G1270" s="6"/>
      <c r="H1270" s="6"/>
      <c r="I1270" s="6"/>
      <c r="J1270" s="6"/>
    </row>
    <row r="1271" spans="1:10" ht="13.5" thickBot="1">
      <c r="A1271" s="4"/>
      <c r="B1271" s="4"/>
      <c r="C1271" s="4"/>
      <c r="D1271" s="5"/>
      <c r="E1271" s="4"/>
      <c r="F1271" s="4"/>
      <c r="G1271" s="6"/>
      <c r="H1271" s="6"/>
      <c r="I1271" s="6"/>
      <c r="J1271" s="6"/>
    </row>
    <row r="1272" spans="1:10" ht="13.5" thickBot="1">
      <c r="A1272" s="4"/>
      <c r="B1272" s="4"/>
      <c r="C1272" s="4"/>
      <c r="D1272" s="5"/>
      <c r="E1272" s="4"/>
      <c r="F1272" s="4"/>
      <c r="G1272" s="6"/>
      <c r="H1272" s="6"/>
      <c r="I1272" s="6"/>
      <c r="J1272" s="6"/>
    </row>
    <row r="1273" spans="1:10" ht="13.5" thickBot="1">
      <c r="A1273" s="4"/>
      <c r="B1273" s="4"/>
      <c r="C1273" s="4"/>
      <c r="D1273" s="5"/>
      <c r="E1273" s="4"/>
      <c r="F1273" s="4"/>
      <c r="G1273" s="6"/>
      <c r="H1273" s="6"/>
      <c r="I1273" s="6"/>
      <c r="J1273" s="6"/>
    </row>
    <row r="1274" spans="1:10" ht="13.5" thickBot="1">
      <c r="A1274" s="4"/>
      <c r="B1274" s="4"/>
      <c r="C1274" s="4"/>
      <c r="D1274" s="5"/>
      <c r="E1274" s="4"/>
      <c r="F1274" s="4"/>
      <c r="G1274" s="6"/>
      <c r="H1274" s="6"/>
      <c r="I1274" s="6"/>
      <c r="J1274" s="6"/>
    </row>
    <row r="1275" spans="1:10" ht="13.5" thickBot="1">
      <c r="A1275" s="4"/>
      <c r="B1275" s="4"/>
      <c r="C1275" s="4"/>
      <c r="D1275" s="5"/>
      <c r="E1275" s="4"/>
      <c r="F1275" s="4"/>
      <c r="G1275" s="6"/>
      <c r="H1275" s="6"/>
      <c r="I1275" s="6"/>
      <c r="J1275" s="6"/>
    </row>
    <row r="1276" spans="1:10" ht="13.5" thickBot="1">
      <c r="A1276" s="4"/>
      <c r="B1276" s="4"/>
      <c r="C1276" s="4"/>
      <c r="D1276" s="5"/>
      <c r="E1276" s="4"/>
      <c r="F1276" s="4"/>
      <c r="G1276" s="6"/>
      <c r="H1276" s="6"/>
      <c r="I1276" s="6"/>
      <c r="J1276" s="6"/>
    </row>
    <row r="1277" spans="1:10" ht="13.5" thickBot="1">
      <c r="A1277" s="4"/>
      <c r="B1277" s="4"/>
      <c r="C1277" s="4"/>
      <c r="D1277" s="5"/>
      <c r="E1277" s="4"/>
      <c r="F1277" s="4"/>
      <c r="G1277" s="6"/>
      <c r="H1277" s="6"/>
      <c r="I1277" s="6"/>
      <c r="J1277" s="6"/>
    </row>
    <row r="1278" spans="1:10" ht="13.5" thickBot="1">
      <c r="A1278" s="4"/>
      <c r="B1278" s="4"/>
      <c r="C1278" s="4"/>
      <c r="D1278" s="5"/>
      <c r="E1278" s="4"/>
      <c r="F1278" s="4"/>
      <c r="G1278" s="6"/>
      <c r="H1278" s="6"/>
      <c r="I1278" s="6"/>
      <c r="J1278" s="6"/>
    </row>
    <row r="1279" spans="1:10" ht="13.5" thickBot="1">
      <c r="A1279" s="4"/>
      <c r="B1279" s="4"/>
      <c r="C1279" s="4"/>
      <c r="D1279" s="5"/>
      <c r="E1279" s="4"/>
      <c r="F1279" s="4"/>
      <c r="G1279" s="6"/>
      <c r="H1279" s="6"/>
      <c r="I1279" s="6"/>
      <c r="J1279" s="6"/>
    </row>
    <row r="1280" spans="1:10" ht="13.5" thickBot="1">
      <c r="A1280" s="4"/>
      <c r="B1280" s="4"/>
      <c r="C1280" s="4"/>
      <c r="D1280" s="5"/>
      <c r="E1280" s="4"/>
      <c r="F1280" s="4"/>
      <c r="G1280" s="6"/>
      <c r="H1280" s="6"/>
      <c r="I1280" s="6"/>
      <c r="J1280" s="6"/>
    </row>
    <row r="1281" spans="1:10" ht="13.5" thickBot="1">
      <c r="A1281" s="4"/>
      <c r="B1281" s="4"/>
      <c r="C1281" s="4"/>
      <c r="D1281" s="5"/>
      <c r="E1281" s="4"/>
      <c r="F1281" s="4"/>
      <c r="G1281" s="6"/>
      <c r="H1281" s="6"/>
      <c r="I1281" s="6"/>
      <c r="J1281" s="6"/>
    </row>
    <row r="1282" spans="1:10" ht="13.5" thickBot="1">
      <c r="A1282" s="4"/>
      <c r="B1282" s="4"/>
      <c r="C1282" s="4"/>
      <c r="D1282" s="5"/>
      <c r="E1282" s="4"/>
      <c r="F1282" s="4"/>
      <c r="G1282" s="6"/>
      <c r="H1282" s="6"/>
      <c r="I1282" s="6"/>
      <c r="J1282" s="6"/>
    </row>
    <row r="1283" spans="1:10" ht="13.5" thickBot="1">
      <c r="A1283" s="4"/>
      <c r="B1283" s="4"/>
      <c r="C1283" s="4"/>
      <c r="D1283" s="5"/>
      <c r="E1283" s="4"/>
      <c r="F1283" s="4"/>
      <c r="G1283" s="6"/>
      <c r="H1283" s="6"/>
      <c r="I1283" s="6"/>
      <c r="J1283" s="6"/>
    </row>
    <row r="1284" spans="1:10" ht="13.5" thickBot="1">
      <c r="A1284" s="4"/>
      <c r="B1284" s="4"/>
      <c r="C1284" s="4"/>
      <c r="D1284" s="5"/>
      <c r="E1284" s="4"/>
      <c r="F1284" s="4"/>
      <c r="G1284" s="6"/>
      <c r="H1284" s="6"/>
      <c r="I1284" s="6"/>
      <c r="J1284" s="6"/>
    </row>
    <row r="1285" spans="1:10" ht="13.5" thickBot="1">
      <c r="A1285" s="4"/>
      <c r="B1285" s="4"/>
      <c r="C1285" s="4"/>
      <c r="D1285" s="5"/>
      <c r="E1285" s="4"/>
      <c r="F1285" s="4"/>
      <c r="G1285" s="6"/>
      <c r="H1285" s="6"/>
      <c r="I1285" s="6"/>
      <c r="J1285" s="6"/>
    </row>
    <row r="1286" spans="1:10" ht="13.5" thickBot="1">
      <c r="A1286" s="4"/>
      <c r="B1286" s="4"/>
      <c r="C1286" s="4"/>
      <c r="D1286" s="5"/>
      <c r="E1286" s="4"/>
      <c r="F1286" s="4"/>
      <c r="G1286" s="6"/>
      <c r="H1286" s="6"/>
      <c r="I1286" s="6"/>
      <c r="J1286" s="6"/>
    </row>
    <row r="1287" spans="1:10" ht="13.5" thickBot="1">
      <c r="A1287" s="4"/>
      <c r="B1287" s="4"/>
      <c r="C1287" s="4"/>
      <c r="D1287" s="5"/>
      <c r="E1287" s="4"/>
      <c r="F1287" s="4"/>
      <c r="G1287" s="6"/>
      <c r="H1287" s="6"/>
      <c r="I1287" s="6"/>
      <c r="J1287" s="6"/>
    </row>
    <row r="1288" spans="1:10" ht="13.5" thickBot="1">
      <c r="A1288" s="4"/>
      <c r="B1288" s="4"/>
      <c r="C1288" s="4"/>
      <c r="D1288" s="5"/>
      <c r="E1288" s="4"/>
      <c r="F1288" s="4"/>
      <c r="G1288" s="6"/>
      <c r="H1288" s="6"/>
      <c r="I1288" s="6"/>
      <c r="J1288" s="6"/>
    </row>
    <row r="1289" spans="1:10" ht="13.5" thickBot="1">
      <c r="A1289" s="4"/>
      <c r="B1289" s="4"/>
      <c r="C1289" s="4"/>
      <c r="D1289" s="5"/>
      <c r="E1289" s="4"/>
      <c r="F1289" s="4"/>
      <c r="G1289" s="6"/>
      <c r="H1289" s="6"/>
      <c r="I1289" s="6"/>
      <c r="J1289" s="6"/>
    </row>
    <row r="1290" spans="1:10" ht="13.5" thickBot="1">
      <c r="A1290" s="4"/>
      <c r="B1290" s="4"/>
      <c r="C1290" s="4"/>
      <c r="D1290" s="5"/>
      <c r="E1290" s="4"/>
      <c r="F1290" s="4"/>
      <c r="G1290" s="6"/>
      <c r="H1290" s="6"/>
      <c r="I1290" s="6"/>
      <c r="J1290" s="6"/>
    </row>
    <row r="1291" spans="1:10" ht="13.5" thickBot="1">
      <c r="A1291" s="4"/>
      <c r="B1291" s="4"/>
      <c r="C1291" s="4"/>
      <c r="D1291" s="5"/>
      <c r="E1291" s="4"/>
      <c r="F1291" s="4"/>
      <c r="G1291" s="6"/>
      <c r="H1291" s="6"/>
      <c r="I1291" s="6"/>
      <c r="J1291" s="6"/>
    </row>
    <row r="1292" spans="1:10" ht="13.5" thickBot="1">
      <c r="A1292" s="4"/>
      <c r="B1292" s="4"/>
      <c r="C1292" s="4"/>
      <c r="D1292" s="5"/>
      <c r="E1292" s="4"/>
      <c r="F1292" s="4"/>
      <c r="G1292" s="6"/>
      <c r="H1292" s="6"/>
      <c r="I1292" s="6"/>
      <c r="J1292" s="6"/>
    </row>
    <row r="1293" spans="1:10" ht="13.5" thickBot="1">
      <c r="A1293" s="4"/>
      <c r="B1293" s="4"/>
      <c r="C1293" s="4"/>
      <c r="D1293" s="5"/>
      <c r="E1293" s="4"/>
      <c r="F1293" s="4"/>
      <c r="G1293" s="6"/>
      <c r="H1293" s="6"/>
      <c r="I1293" s="6"/>
      <c r="J1293" s="6"/>
    </row>
    <row r="1294" spans="1:10" ht="13.5" thickBot="1">
      <c r="A1294" s="4"/>
      <c r="B1294" s="4"/>
      <c r="C1294" s="4"/>
      <c r="D1294" s="5"/>
      <c r="E1294" s="4"/>
      <c r="F1294" s="4"/>
      <c r="G1294" s="6"/>
      <c r="H1294" s="6"/>
      <c r="I1294" s="6"/>
      <c r="J1294" s="6"/>
    </row>
    <row r="1295" spans="1:10" ht="13.5" thickBot="1">
      <c r="A1295" s="4"/>
      <c r="B1295" s="4"/>
      <c r="C1295" s="4"/>
      <c r="D1295" s="5"/>
      <c r="E1295" s="4"/>
      <c r="F1295" s="4"/>
      <c r="G1295" s="6"/>
      <c r="H1295" s="6"/>
      <c r="I1295" s="6"/>
      <c r="J1295" s="6"/>
    </row>
    <row r="1296" spans="1:10" ht="13.5" thickBot="1">
      <c r="A1296" s="4"/>
      <c r="B1296" s="4"/>
      <c r="C1296" s="4"/>
      <c r="D1296" s="5"/>
      <c r="E1296" s="4"/>
      <c r="F1296" s="4"/>
      <c r="G1296" s="6"/>
      <c r="H1296" s="6"/>
      <c r="I1296" s="6"/>
      <c r="J1296" s="6"/>
    </row>
    <row r="1297" spans="1:10" ht="13.5" thickBot="1">
      <c r="A1297" s="4"/>
      <c r="B1297" s="4"/>
      <c r="C1297" s="4"/>
      <c r="D1297" s="5"/>
      <c r="E1297" s="4"/>
      <c r="F1297" s="4"/>
      <c r="G1297" s="6"/>
      <c r="H1297" s="6"/>
      <c r="I1297" s="6"/>
      <c r="J1297" s="6"/>
    </row>
    <row r="1298" spans="1:10" ht="13.5" thickBot="1">
      <c r="A1298" s="4"/>
      <c r="B1298" s="4"/>
      <c r="C1298" s="4"/>
      <c r="D1298" s="5"/>
      <c r="E1298" s="4"/>
      <c r="F1298" s="4"/>
      <c r="G1298" s="6"/>
      <c r="H1298" s="6"/>
      <c r="I1298" s="6"/>
      <c r="J1298" s="6"/>
    </row>
    <row r="1299" spans="1:10" ht="13.5" thickBot="1">
      <c r="A1299" s="4"/>
      <c r="B1299" s="4"/>
      <c r="C1299" s="4"/>
      <c r="D1299" s="5"/>
      <c r="E1299" s="4"/>
      <c r="F1299" s="4"/>
      <c r="G1299" s="6"/>
      <c r="H1299" s="6"/>
      <c r="I1299" s="6"/>
      <c r="J1299" s="6"/>
    </row>
    <row r="1300" spans="1:10" ht="13.5" thickBot="1">
      <c r="A1300" s="4"/>
      <c r="B1300" s="4"/>
      <c r="C1300" s="4"/>
      <c r="D1300" s="5"/>
      <c r="E1300" s="4"/>
      <c r="F1300" s="4"/>
      <c r="G1300" s="6"/>
      <c r="H1300" s="6"/>
      <c r="I1300" s="6"/>
      <c r="J1300" s="6"/>
    </row>
    <row r="1301" spans="1:10" ht="13.5" thickBot="1">
      <c r="A1301" s="4"/>
      <c r="B1301" s="4"/>
      <c r="C1301" s="4"/>
      <c r="D1301" s="5"/>
      <c r="E1301" s="4"/>
      <c r="F1301" s="4"/>
      <c r="G1301" s="6"/>
      <c r="H1301" s="6"/>
      <c r="I1301" s="6"/>
      <c r="J1301" s="6"/>
    </row>
    <row r="1302" spans="1:10" ht="13.5" thickBot="1">
      <c r="A1302" s="4"/>
      <c r="B1302" s="4"/>
      <c r="C1302" s="4"/>
      <c r="D1302" s="5"/>
      <c r="E1302" s="4"/>
      <c r="F1302" s="4"/>
      <c r="G1302" s="6"/>
      <c r="H1302" s="6"/>
      <c r="I1302" s="6"/>
      <c r="J1302" s="6"/>
    </row>
    <row r="1303" spans="1:10" ht="13.5" thickBot="1">
      <c r="A1303" s="4"/>
      <c r="B1303" s="4"/>
      <c r="C1303" s="4"/>
      <c r="D1303" s="5"/>
      <c r="E1303" s="4"/>
      <c r="F1303" s="4"/>
      <c r="G1303" s="6"/>
      <c r="H1303" s="6"/>
      <c r="I1303" s="6"/>
      <c r="J1303" s="6"/>
    </row>
    <row r="1304" spans="1:10" ht="13.5" thickBot="1">
      <c r="A1304" s="4"/>
      <c r="B1304" s="4"/>
      <c r="C1304" s="4"/>
      <c r="D1304" s="5"/>
      <c r="E1304" s="4"/>
      <c r="F1304" s="4"/>
      <c r="G1304" s="6"/>
      <c r="H1304" s="6"/>
      <c r="I1304" s="6"/>
      <c r="J1304" s="6"/>
    </row>
    <row r="1305" spans="1:10" ht="13.5" thickBot="1">
      <c r="A1305" s="4"/>
      <c r="B1305" s="4"/>
      <c r="C1305" s="4"/>
      <c r="D1305" s="5"/>
      <c r="E1305" s="4"/>
      <c r="F1305" s="4"/>
      <c r="G1305" s="6"/>
      <c r="H1305" s="6"/>
      <c r="I1305" s="6"/>
      <c r="J1305" s="6"/>
    </row>
    <row r="1306" spans="1:10" ht="13.5" thickBot="1">
      <c r="A1306" s="4"/>
      <c r="B1306" s="4"/>
      <c r="C1306" s="4"/>
      <c r="D1306" s="5"/>
      <c r="E1306" s="4"/>
      <c r="F1306" s="4"/>
      <c r="G1306" s="6"/>
      <c r="H1306" s="6"/>
      <c r="I1306" s="6"/>
      <c r="J1306" s="6"/>
    </row>
    <row r="1307" spans="1:10" ht="13.5" thickBot="1">
      <c r="A1307" s="4"/>
      <c r="B1307" s="4"/>
      <c r="C1307" s="4"/>
      <c r="D1307" s="5"/>
      <c r="E1307" s="4"/>
      <c r="F1307" s="4"/>
      <c r="G1307" s="6"/>
      <c r="H1307" s="6"/>
      <c r="I1307" s="6"/>
      <c r="J1307" s="6"/>
    </row>
    <row r="1308" spans="1:10" ht="13.5" thickBot="1">
      <c r="A1308" s="4"/>
      <c r="B1308" s="4"/>
      <c r="C1308" s="4"/>
      <c r="D1308" s="5"/>
      <c r="E1308" s="4"/>
      <c r="F1308" s="4"/>
      <c r="G1308" s="6"/>
      <c r="H1308" s="6"/>
      <c r="I1308" s="6"/>
      <c r="J1308" s="6"/>
    </row>
    <row r="1309" spans="1:10" ht="13.5" thickBot="1">
      <c r="A1309" s="4"/>
      <c r="B1309" s="4"/>
      <c r="C1309" s="4"/>
      <c r="D1309" s="5"/>
      <c r="E1309" s="4"/>
      <c r="F1309" s="4"/>
      <c r="G1309" s="6"/>
      <c r="H1309" s="6"/>
      <c r="I1309" s="6"/>
      <c r="J1309" s="6"/>
    </row>
    <row r="1310" spans="1:10" ht="13.5" thickBot="1">
      <c r="A1310" s="4"/>
      <c r="B1310" s="4"/>
      <c r="C1310" s="4"/>
      <c r="D1310" s="5"/>
      <c r="E1310" s="4"/>
      <c r="F1310" s="4"/>
      <c r="G1310" s="6"/>
      <c r="H1310" s="6"/>
      <c r="I1310" s="6"/>
      <c r="J1310" s="6"/>
    </row>
    <row r="1311" spans="1:10" ht="13.5" thickBot="1">
      <c r="A1311" s="4"/>
      <c r="B1311" s="4"/>
      <c r="C1311" s="4"/>
      <c r="D1311" s="5"/>
      <c r="E1311" s="4"/>
      <c r="F1311" s="4"/>
      <c r="G1311" s="6"/>
      <c r="H1311" s="6"/>
      <c r="I1311" s="6"/>
      <c r="J1311" s="6"/>
    </row>
    <row r="1312" spans="1:10" ht="13.5" thickBot="1">
      <c r="A1312" s="4"/>
      <c r="B1312" s="4"/>
      <c r="C1312" s="4"/>
      <c r="D1312" s="5"/>
      <c r="E1312" s="4"/>
      <c r="F1312" s="4"/>
      <c r="G1312" s="6"/>
      <c r="H1312" s="6"/>
      <c r="I1312" s="6"/>
      <c r="J1312" s="6"/>
    </row>
    <row r="1313" spans="1:10" ht="13.5" thickBot="1">
      <c r="A1313" s="4"/>
      <c r="B1313" s="4"/>
      <c r="C1313" s="4"/>
      <c r="D1313" s="5"/>
      <c r="E1313" s="4"/>
      <c r="F1313" s="4"/>
      <c r="G1313" s="6"/>
      <c r="H1313" s="6"/>
      <c r="I1313" s="6"/>
      <c r="J1313" s="6"/>
    </row>
    <row r="1314" spans="1:10" ht="13.5" thickBot="1">
      <c r="A1314" s="4"/>
      <c r="B1314" s="4"/>
      <c r="C1314" s="4"/>
      <c r="D1314" s="5"/>
      <c r="E1314" s="4"/>
      <c r="F1314" s="4"/>
      <c r="G1314" s="6"/>
      <c r="H1314" s="6"/>
      <c r="I1314" s="6"/>
      <c r="J1314" s="6"/>
    </row>
    <row r="1315" spans="1:10" ht="13.5" thickBot="1">
      <c r="A1315" s="4"/>
      <c r="B1315" s="4"/>
      <c r="C1315" s="4"/>
      <c r="D1315" s="5"/>
      <c r="E1315" s="4"/>
      <c r="F1315" s="4"/>
      <c r="G1315" s="6"/>
      <c r="H1315" s="6"/>
      <c r="I1315" s="6"/>
      <c r="J1315" s="6"/>
    </row>
    <row r="1316" spans="1:10" ht="13.5" thickBot="1">
      <c r="A1316" s="4"/>
      <c r="B1316" s="4"/>
      <c r="C1316" s="4"/>
      <c r="D1316" s="5"/>
      <c r="E1316" s="4"/>
      <c r="F1316" s="4"/>
      <c r="G1316" s="6"/>
      <c r="H1316" s="6"/>
      <c r="I1316" s="6"/>
      <c r="J1316" s="6"/>
    </row>
    <row r="1317" spans="1:10" ht="13.5" thickBot="1">
      <c r="A1317" s="4"/>
      <c r="B1317" s="4"/>
      <c r="C1317" s="4"/>
      <c r="D1317" s="5"/>
      <c r="E1317" s="4"/>
      <c r="F1317" s="4"/>
      <c r="G1317" s="6"/>
      <c r="H1317" s="6"/>
      <c r="I1317" s="6"/>
      <c r="J1317" s="6"/>
    </row>
    <row r="1318" spans="1:10" ht="13.5" thickBot="1">
      <c r="A1318" s="4"/>
      <c r="B1318" s="4"/>
      <c r="C1318" s="4"/>
      <c r="D1318" s="5"/>
      <c r="E1318" s="4"/>
      <c r="F1318" s="4"/>
      <c r="G1318" s="6"/>
      <c r="H1318" s="6"/>
      <c r="I1318" s="6"/>
      <c r="J1318" s="6"/>
    </row>
    <row r="1319" spans="1:10" ht="13.5" thickBot="1">
      <c r="A1319" s="4"/>
      <c r="B1319" s="4"/>
      <c r="C1319" s="4"/>
      <c r="D1319" s="5"/>
      <c r="E1319" s="4"/>
      <c r="F1319" s="4"/>
      <c r="G1319" s="6"/>
      <c r="H1319" s="6"/>
      <c r="I1319" s="6"/>
      <c r="J1319" s="6"/>
    </row>
    <row r="1320" spans="1:10" ht="13.5" thickBot="1">
      <c r="A1320" s="4"/>
      <c r="B1320" s="4"/>
      <c r="C1320" s="4"/>
      <c r="D1320" s="5"/>
      <c r="E1320" s="4"/>
      <c r="F1320" s="4"/>
      <c r="G1320" s="6"/>
      <c r="H1320" s="6"/>
      <c r="I1320" s="6"/>
      <c r="J1320" s="6"/>
    </row>
    <row r="1321" spans="1:10" ht="13.5" thickBot="1">
      <c r="A1321" s="4"/>
      <c r="B1321" s="4"/>
      <c r="C1321" s="4"/>
      <c r="D1321" s="5"/>
      <c r="E1321" s="4"/>
      <c r="F1321" s="4"/>
      <c r="G1321" s="6"/>
      <c r="H1321" s="6"/>
      <c r="I1321" s="6"/>
      <c r="J1321" s="6"/>
    </row>
    <row r="1322" spans="1:10" ht="13.5" thickBot="1">
      <c r="A1322" s="4"/>
      <c r="B1322" s="4"/>
      <c r="C1322" s="4"/>
      <c r="D1322" s="5"/>
      <c r="E1322" s="4"/>
      <c r="F1322" s="4"/>
      <c r="G1322" s="6"/>
      <c r="H1322" s="6"/>
      <c r="I1322" s="6"/>
      <c r="J1322" s="6"/>
    </row>
    <row r="1323" spans="1:10" ht="13.5" thickBot="1">
      <c r="A1323" s="4"/>
      <c r="B1323" s="4"/>
      <c r="C1323" s="4"/>
      <c r="D1323" s="5"/>
      <c r="E1323" s="4"/>
      <c r="F1323" s="4"/>
      <c r="G1323" s="6"/>
      <c r="H1323" s="6"/>
      <c r="I1323" s="6"/>
      <c r="J1323" s="6"/>
    </row>
    <row r="1324" spans="1:10" ht="13.5" thickBot="1">
      <c r="A1324" s="4"/>
      <c r="B1324" s="4"/>
      <c r="C1324" s="4"/>
      <c r="D1324" s="5"/>
      <c r="E1324" s="4"/>
      <c r="F1324" s="4"/>
      <c r="G1324" s="6"/>
      <c r="H1324" s="6"/>
      <c r="I1324" s="6"/>
      <c r="J1324" s="6"/>
    </row>
    <row r="1325" spans="1:10" ht="13.5" thickBot="1">
      <c r="A1325" s="4"/>
      <c r="B1325" s="4"/>
      <c r="C1325" s="4"/>
      <c r="D1325" s="5"/>
      <c r="E1325" s="4"/>
      <c r="F1325" s="4"/>
      <c r="G1325" s="6"/>
      <c r="H1325" s="6"/>
      <c r="I1325" s="6"/>
      <c r="J1325" s="6"/>
    </row>
    <row r="1326" spans="1:10" ht="13.5" thickBot="1">
      <c r="A1326" s="4"/>
      <c r="B1326" s="4"/>
      <c r="C1326" s="4"/>
      <c r="D1326" s="5"/>
      <c r="E1326" s="4"/>
      <c r="F1326" s="4"/>
      <c r="G1326" s="6"/>
      <c r="H1326" s="6"/>
      <c r="I1326" s="6"/>
      <c r="J1326" s="6"/>
    </row>
    <row r="1327" spans="1:10" ht="13.5" thickBot="1">
      <c r="A1327" s="4"/>
      <c r="B1327" s="4"/>
      <c r="C1327" s="4"/>
      <c r="D1327" s="5"/>
      <c r="E1327" s="4"/>
      <c r="F1327" s="4"/>
      <c r="G1327" s="6"/>
      <c r="H1327" s="6"/>
      <c r="I1327" s="6"/>
      <c r="J1327" s="6"/>
    </row>
    <row r="1328" spans="1:10" ht="13.5" thickBot="1">
      <c r="A1328" s="4"/>
      <c r="B1328" s="4"/>
      <c r="C1328" s="4"/>
      <c r="D1328" s="5"/>
      <c r="E1328" s="4"/>
      <c r="F1328" s="4"/>
      <c r="G1328" s="6"/>
      <c r="H1328" s="6"/>
      <c r="I1328" s="6"/>
      <c r="J1328" s="6"/>
    </row>
    <row r="1329" spans="1:10" ht="13.5" thickBot="1">
      <c r="A1329" s="4"/>
      <c r="B1329" s="4"/>
      <c r="C1329" s="4"/>
      <c r="D1329" s="5"/>
      <c r="E1329" s="4"/>
      <c r="F1329" s="4"/>
      <c r="G1329" s="6"/>
      <c r="H1329" s="6"/>
      <c r="I1329" s="6"/>
      <c r="J1329" s="6"/>
    </row>
    <row r="1330" spans="1:10" ht="13.5" thickBot="1">
      <c r="A1330" s="4"/>
      <c r="B1330" s="4"/>
      <c r="C1330" s="4"/>
      <c r="D1330" s="5"/>
      <c r="E1330" s="4"/>
      <c r="F1330" s="4"/>
      <c r="G1330" s="6"/>
      <c r="H1330" s="6"/>
      <c r="I1330" s="6"/>
      <c r="J1330" s="6"/>
    </row>
    <row r="1331" spans="1:10" ht="13.5" thickBot="1">
      <c r="A1331" s="4"/>
      <c r="B1331" s="4"/>
      <c r="C1331" s="4"/>
      <c r="D1331" s="5"/>
      <c r="E1331" s="4"/>
      <c r="F1331" s="4"/>
      <c r="G1331" s="6"/>
      <c r="H1331" s="6"/>
      <c r="I1331" s="6"/>
      <c r="J1331" s="6"/>
    </row>
    <row r="1332" spans="1:10" ht="13.5" thickBot="1">
      <c r="A1332" s="4"/>
      <c r="B1332" s="4"/>
      <c r="C1332" s="4"/>
      <c r="D1332" s="5"/>
      <c r="E1332" s="4"/>
      <c r="F1332" s="4"/>
      <c r="G1332" s="6"/>
      <c r="H1332" s="6"/>
      <c r="I1332" s="6"/>
      <c r="J1332" s="6"/>
    </row>
    <row r="1333" spans="1:10" ht="13.5" thickBot="1">
      <c r="A1333" s="4"/>
      <c r="B1333" s="4"/>
      <c r="C1333" s="4"/>
      <c r="D1333" s="5"/>
      <c r="E1333" s="4"/>
      <c r="F1333" s="4"/>
      <c r="G1333" s="6"/>
      <c r="H1333" s="6"/>
      <c r="I1333" s="6"/>
      <c r="J1333" s="6"/>
    </row>
    <row r="1334" spans="1:10" ht="13.5" thickBot="1">
      <c r="A1334" s="4"/>
      <c r="B1334" s="4"/>
      <c r="C1334" s="4"/>
      <c r="D1334" s="5"/>
      <c r="E1334" s="4"/>
      <c r="F1334" s="4"/>
      <c r="G1334" s="6"/>
      <c r="H1334" s="6"/>
      <c r="I1334" s="6"/>
      <c r="J1334" s="6"/>
    </row>
    <row r="1335" spans="1:10" ht="13.5" thickBot="1">
      <c r="A1335" s="4"/>
      <c r="B1335" s="4"/>
      <c r="C1335" s="4"/>
      <c r="D1335" s="5"/>
      <c r="E1335" s="4"/>
      <c r="F1335" s="4"/>
      <c r="G1335" s="6"/>
      <c r="H1335" s="6"/>
      <c r="I1335" s="6"/>
      <c r="J1335" s="6"/>
    </row>
    <row r="1336" spans="1:10" ht="13.5" thickBot="1">
      <c r="A1336" s="4"/>
      <c r="B1336" s="4"/>
      <c r="C1336" s="4"/>
      <c r="D1336" s="5"/>
      <c r="E1336" s="4"/>
      <c r="F1336" s="4"/>
      <c r="G1336" s="6"/>
      <c r="H1336" s="6"/>
      <c r="I1336" s="6"/>
      <c r="J1336" s="6"/>
    </row>
    <row r="1337" spans="1:10" ht="13.5" thickBot="1">
      <c r="A1337" s="4"/>
      <c r="B1337" s="4"/>
      <c r="C1337" s="4"/>
      <c r="D1337" s="5"/>
      <c r="E1337" s="4"/>
      <c r="F1337" s="4"/>
      <c r="G1337" s="6"/>
      <c r="H1337" s="6"/>
      <c r="I1337" s="6"/>
      <c r="J1337" s="6"/>
    </row>
    <row r="1338" spans="1:10" ht="13.5" thickBot="1">
      <c r="A1338" s="4"/>
      <c r="B1338" s="4"/>
      <c r="C1338" s="4"/>
      <c r="D1338" s="5"/>
      <c r="E1338" s="4"/>
      <c r="F1338" s="4"/>
      <c r="G1338" s="6"/>
      <c r="H1338" s="6"/>
      <c r="I1338" s="6"/>
      <c r="J1338" s="6"/>
    </row>
    <row r="1339" spans="1:10" ht="13.5" thickBot="1">
      <c r="A1339" s="4"/>
      <c r="B1339" s="4"/>
      <c r="C1339" s="4"/>
      <c r="D1339" s="5"/>
      <c r="E1339" s="4"/>
      <c r="F1339" s="4"/>
      <c r="G1339" s="6"/>
      <c r="H1339" s="6"/>
      <c r="I1339" s="6"/>
      <c r="J1339" s="6"/>
    </row>
    <row r="1340" spans="1:10" ht="13.5" thickBot="1">
      <c r="A1340" s="4"/>
      <c r="B1340" s="4"/>
      <c r="C1340" s="4"/>
      <c r="D1340" s="5"/>
      <c r="E1340" s="4"/>
      <c r="F1340" s="4"/>
      <c r="G1340" s="6"/>
      <c r="H1340" s="6"/>
      <c r="I1340" s="6"/>
      <c r="J1340" s="6"/>
    </row>
    <row r="1341" spans="1:10" ht="13.5" thickBot="1">
      <c r="A1341" s="4"/>
      <c r="B1341" s="4"/>
      <c r="C1341" s="4"/>
      <c r="D1341" s="5"/>
      <c r="E1341" s="4"/>
      <c r="F1341" s="4"/>
      <c r="G1341" s="6"/>
      <c r="H1341" s="6"/>
      <c r="I1341" s="6"/>
      <c r="J1341" s="6"/>
    </row>
    <row r="1342" spans="1:10" ht="13.5" thickBot="1">
      <c r="A1342" s="4"/>
      <c r="B1342" s="4"/>
      <c r="C1342" s="4"/>
      <c r="D1342" s="5"/>
      <c r="E1342" s="4"/>
      <c r="F1342" s="4"/>
      <c r="G1342" s="6"/>
      <c r="H1342" s="6"/>
      <c r="I1342" s="6"/>
      <c r="J1342" s="6"/>
    </row>
    <row r="1343" spans="1:10" ht="13.5" thickBot="1">
      <c r="A1343" s="4"/>
      <c r="B1343" s="4"/>
      <c r="C1343" s="4"/>
      <c r="D1343" s="5"/>
      <c r="E1343" s="4"/>
      <c r="F1343" s="4"/>
      <c r="G1343" s="6"/>
      <c r="H1343" s="6"/>
      <c r="I1343" s="6"/>
      <c r="J1343" s="6"/>
    </row>
    <row r="1344" spans="1:10" ht="13.5" thickBot="1">
      <c r="A1344" s="4"/>
      <c r="B1344" s="4"/>
      <c r="C1344" s="4"/>
      <c r="D1344" s="5"/>
      <c r="E1344" s="4"/>
      <c r="F1344" s="4"/>
      <c r="G1344" s="6"/>
      <c r="H1344" s="6"/>
      <c r="I1344" s="6"/>
      <c r="J1344" s="6"/>
    </row>
    <row r="1345" spans="1:10" ht="13.5" thickBot="1">
      <c r="A1345" s="4"/>
      <c r="B1345" s="4"/>
      <c r="C1345" s="4"/>
      <c r="D1345" s="5"/>
      <c r="E1345" s="4"/>
      <c r="F1345" s="4"/>
      <c r="G1345" s="6"/>
      <c r="H1345" s="6"/>
      <c r="I1345" s="6"/>
      <c r="J1345" s="6"/>
    </row>
    <row r="1346" spans="1:10" ht="13.5" thickBot="1">
      <c r="A1346" s="4"/>
      <c r="B1346" s="4"/>
      <c r="C1346" s="4"/>
      <c r="D1346" s="5"/>
      <c r="E1346" s="4"/>
      <c r="F1346" s="4"/>
      <c r="G1346" s="6"/>
      <c r="H1346" s="6"/>
      <c r="I1346" s="6"/>
      <c r="J1346" s="6"/>
    </row>
    <row r="1347" spans="1:10" ht="13.5" thickBot="1">
      <c r="A1347" s="4"/>
      <c r="B1347" s="4"/>
      <c r="C1347" s="4"/>
      <c r="D1347" s="5"/>
      <c r="E1347" s="4"/>
      <c r="F1347" s="4"/>
      <c r="G1347" s="6"/>
      <c r="H1347" s="6"/>
      <c r="I1347" s="6"/>
      <c r="J1347" s="6"/>
    </row>
    <row r="1348" spans="1:10" ht="13.5" thickBot="1">
      <c r="A1348" s="4"/>
      <c r="B1348" s="4"/>
      <c r="C1348" s="4"/>
      <c r="D1348" s="5"/>
      <c r="E1348" s="4"/>
      <c r="F1348" s="4"/>
      <c r="G1348" s="6"/>
      <c r="H1348" s="6"/>
      <c r="I1348" s="6"/>
      <c r="J1348" s="6"/>
    </row>
    <row r="1349" spans="1:10" ht="13.5" thickBot="1">
      <c r="A1349" s="4"/>
      <c r="B1349" s="4"/>
      <c r="C1349" s="4"/>
      <c r="D1349" s="5"/>
      <c r="E1349" s="4"/>
      <c r="F1349" s="4"/>
      <c r="G1349" s="6"/>
      <c r="H1349" s="6"/>
      <c r="I1349" s="6"/>
      <c r="J1349" s="6"/>
    </row>
    <row r="1350" spans="1:10" ht="13.5" thickBot="1">
      <c r="A1350" s="4"/>
      <c r="B1350" s="4"/>
      <c r="C1350" s="4"/>
      <c r="D1350" s="5"/>
      <c r="E1350" s="4"/>
      <c r="F1350" s="4"/>
      <c r="G1350" s="6"/>
      <c r="H1350" s="6"/>
      <c r="I1350" s="6"/>
      <c r="J1350" s="6"/>
    </row>
    <row r="1351" spans="1:10" ht="13.5" thickBot="1">
      <c r="A1351" s="4"/>
      <c r="B1351" s="4"/>
      <c r="C1351" s="4"/>
      <c r="D1351" s="5"/>
      <c r="E1351" s="4"/>
      <c r="F1351" s="4"/>
      <c r="G1351" s="6"/>
      <c r="H1351" s="6"/>
      <c r="I1351" s="6"/>
      <c r="J1351" s="6"/>
    </row>
    <row r="1352" spans="1:10" ht="13.5" thickBot="1">
      <c r="A1352" s="4"/>
      <c r="B1352" s="4"/>
      <c r="C1352" s="4"/>
      <c r="D1352" s="5"/>
      <c r="E1352" s="4"/>
      <c r="F1352" s="4"/>
      <c r="G1352" s="6"/>
      <c r="H1352" s="6"/>
      <c r="I1352" s="6"/>
      <c r="J1352" s="6"/>
    </row>
    <row r="1353" spans="1:10" ht="13.5" thickBot="1">
      <c r="A1353" s="4"/>
      <c r="B1353" s="4"/>
      <c r="C1353" s="4"/>
      <c r="D1353" s="5"/>
      <c r="E1353" s="4"/>
      <c r="F1353" s="4"/>
      <c r="G1353" s="6"/>
      <c r="H1353" s="6"/>
      <c r="I1353" s="6"/>
      <c r="J1353" s="6"/>
    </row>
    <row r="1354" spans="1:10" ht="13.5" thickBot="1">
      <c r="A1354" s="4"/>
      <c r="B1354" s="4"/>
      <c r="C1354" s="4"/>
      <c r="D1354" s="5"/>
      <c r="E1354" s="4"/>
      <c r="F1354" s="4"/>
      <c r="G1354" s="6"/>
      <c r="H1354" s="6"/>
      <c r="I1354" s="6"/>
      <c r="J1354" s="6"/>
    </row>
    <row r="1355" spans="1:10" ht="13.5" thickBot="1">
      <c r="A1355" s="4"/>
      <c r="B1355" s="4"/>
      <c r="C1355" s="4"/>
      <c r="D1355" s="5"/>
      <c r="E1355" s="4"/>
      <c r="F1355" s="4"/>
      <c r="G1355" s="6"/>
      <c r="H1355" s="6"/>
      <c r="I1355" s="6"/>
      <c r="J1355" s="6"/>
    </row>
    <row r="1356" spans="1:10" ht="13.5" thickBot="1">
      <c r="A1356" s="4"/>
      <c r="B1356" s="4"/>
      <c r="C1356" s="4"/>
      <c r="D1356" s="5"/>
      <c r="E1356" s="4"/>
      <c r="F1356" s="4"/>
      <c r="G1356" s="6"/>
      <c r="H1356" s="6"/>
      <c r="I1356" s="6"/>
      <c r="J1356" s="6"/>
    </row>
    <row r="1357" spans="1:10" ht="13.5" thickBot="1">
      <c r="A1357" s="4"/>
      <c r="B1357" s="4"/>
      <c r="C1357" s="4"/>
      <c r="D1357" s="5"/>
      <c r="E1357" s="4"/>
      <c r="F1357" s="4"/>
      <c r="G1357" s="6"/>
      <c r="H1357" s="6"/>
      <c r="I1357" s="6"/>
      <c r="J1357" s="6"/>
    </row>
    <row r="1358" spans="1:10" ht="13.5" thickBot="1">
      <c r="A1358" s="4"/>
      <c r="B1358" s="4"/>
      <c r="C1358" s="4"/>
      <c r="D1358" s="5"/>
      <c r="E1358" s="4"/>
      <c r="F1358" s="4"/>
      <c r="G1358" s="6"/>
      <c r="H1358" s="6"/>
      <c r="I1358" s="6"/>
      <c r="J1358" s="6"/>
    </row>
    <row r="1359" spans="1:10" ht="13.5" thickBot="1">
      <c r="A1359" s="4"/>
      <c r="B1359" s="4"/>
      <c r="C1359" s="4"/>
      <c r="D1359" s="5"/>
      <c r="E1359" s="4"/>
      <c r="F1359" s="4"/>
      <c r="G1359" s="6"/>
      <c r="H1359" s="6"/>
      <c r="I1359" s="6"/>
      <c r="J1359" s="6"/>
    </row>
    <row r="1360" spans="1:10" ht="13.5" thickBot="1">
      <c r="A1360" s="4"/>
      <c r="B1360" s="4"/>
      <c r="C1360" s="4"/>
      <c r="D1360" s="5"/>
      <c r="E1360" s="4"/>
      <c r="F1360" s="4"/>
      <c r="G1360" s="6"/>
      <c r="H1360" s="6"/>
      <c r="I1360" s="6"/>
      <c r="J1360" s="6"/>
    </row>
    <row r="1361" spans="1:10" ht="13.5" thickBot="1">
      <c r="A1361" s="4"/>
      <c r="B1361" s="4"/>
      <c r="C1361" s="4"/>
      <c r="D1361" s="5"/>
      <c r="E1361" s="4"/>
      <c r="F1361" s="4"/>
      <c r="G1361" s="6"/>
      <c r="H1361" s="6"/>
      <c r="I1361" s="6"/>
      <c r="J1361" s="6"/>
    </row>
    <row r="1362" spans="1:10" ht="13.5" thickBot="1">
      <c r="A1362" s="4"/>
      <c r="B1362" s="4"/>
      <c r="C1362" s="4"/>
      <c r="D1362" s="5"/>
      <c r="E1362" s="4"/>
      <c r="F1362" s="4"/>
      <c r="G1362" s="6"/>
      <c r="H1362" s="6"/>
      <c r="I1362" s="6"/>
      <c r="J1362" s="6"/>
    </row>
    <row r="1363" spans="1:10" ht="13.5" thickBot="1">
      <c r="A1363" s="4"/>
      <c r="B1363" s="4"/>
      <c r="C1363" s="4"/>
      <c r="D1363" s="5"/>
      <c r="E1363" s="4"/>
      <c r="F1363" s="4"/>
      <c r="G1363" s="6"/>
      <c r="H1363" s="6"/>
      <c r="I1363" s="6"/>
      <c r="J1363" s="6"/>
    </row>
    <row r="1364" spans="1:10" ht="13.5" thickBot="1">
      <c r="A1364" s="4"/>
      <c r="B1364" s="4"/>
      <c r="C1364" s="4"/>
      <c r="D1364" s="5"/>
      <c r="E1364" s="4"/>
      <c r="F1364" s="4"/>
      <c r="G1364" s="6"/>
      <c r="H1364" s="6"/>
      <c r="I1364" s="6"/>
      <c r="J1364" s="6"/>
    </row>
    <row r="1365" spans="1:10" ht="13.5" thickBot="1">
      <c r="A1365" s="4"/>
      <c r="B1365" s="4"/>
      <c r="C1365" s="4"/>
      <c r="D1365" s="5"/>
      <c r="E1365" s="4"/>
      <c r="F1365" s="4"/>
      <c r="G1365" s="6"/>
      <c r="H1365" s="6"/>
      <c r="I1365" s="6"/>
      <c r="J1365" s="6"/>
    </row>
    <row r="1366" spans="1:10" ht="13.5" thickBot="1">
      <c r="A1366" s="4"/>
      <c r="B1366" s="4"/>
      <c r="C1366" s="4"/>
      <c r="D1366" s="5"/>
      <c r="E1366" s="4"/>
      <c r="F1366" s="4"/>
      <c r="G1366" s="6"/>
      <c r="H1366" s="6"/>
      <c r="I1366" s="6"/>
      <c r="J1366" s="6"/>
    </row>
    <row r="1367" spans="1:10" ht="13.5" thickBot="1">
      <c r="A1367" s="4"/>
      <c r="B1367" s="4"/>
      <c r="C1367" s="4"/>
      <c r="D1367" s="5"/>
      <c r="E1367" s="4"/>
      <c r="F1367" s="4"/>
      <c r="G1367" s="6"/>
      <c r="H1367" s="6"/>
      <c r="I1367" s="6"/>
      <c r="J1367" s="6"/>
    </row>
    <row r="1368" spans="1:10" ht="13.5" thickBot="1">
      <c r="A1368" s="4"/>
      <c r="B1368" s="4"/>
      <c r="C1368" s="4"/>
      <c r="D1368" s="5"/>
      <c r="E1368" s="4"/>
      <c r="F1368" s="4"/>
      <c r="G1368" s="6"/>
      <c r="H1368" s="6"/>
      <c r="I1368" s="6"/>
      <c r="J1368" s="6"/>
    </row>
    <row r="1369" spans="1:10" ht="13.5" thickBot="1">
      <c r="A1369" s="4"/>
      <c r="B1369" s="4"/>
      <c r="C1369" s="4"/>
      <c r="D1369" s="5"/>
      <c r="E1369" s="4"/>
      <c r="F1369" s="4"/>
      <c r="G1369" s="6"/>
      <c r="H1369" s="6"/>
      <c r="I1369" s="6"/>
      <c r="J1369" s="6"/>
    </row>
    <row r="1370" spans="1:10" ht="13.5" thickBot="1">
      <c r="A1370" s="4"/>
      <c r="B1370" s="4"/>
      <c r="C1370" s="4"/>
      <c r="D1370" s="5"/>
      <c r="E1370" s="4"/>
      <c r="F1370" s="4"/>
      <c r="G1370" s="6"/>
      <c r="H1370" s="6"/>
      <c r="I1370" s="6"/>
      <c r="J1370" s="6"/>
    </row>
    <row r="1371" spans="1:10" ht="13.5" thickBot="1">
      <c r="A1371" s="4"/>
      <c r="B1371" s="4"/>
      <c r="C1371" s="4"/>
      <c r="D1371" s="5"/>
      <c r="E1371" s="4"/>
      <c r="F1371" s="4"/>
      <c r="G1371" s="6"/>
      <c r="H1371" s="6"/>
      <c r="I1371" s="6"/>
      <c r="J1371" s="6"/>
    </row>
    <row r="1372" spans="1:10" ht="13.5" thickBot="1">
      <c r="A1372" s="4"/>
      <c r="B1372" s="4"/>
      <c r="C1372" s="4"/>
      <c r="D1372" s="5"/>
      <c r="E1372" s="4"/>
      <c r="F1372" s="4"/>
      <c r="G1372" s="6"/>
      <c r="H1372" s="6"/>
      <c r="I1372" s="6"/>
      <c r="J1372" s="6"/>
    </row>
    <row r="1373" spans="1:10" ht="13.5" thickBot="1">
      <c r="A1373" s="4"/>
      <c r="B1373" s="4"/>
      <c r="C1373" s="4"/>
      <c r="D1373" s="5"/>
      <c r="E1373" s="4"/>
      <c r="F1373" s="4"/>
      <c r="G1373" s="6"/>
      <c r="H1373" s="6"/>
      <c r="I1373" s="6"/>
      <c r="J1373" s="6"/>
    </row>
    <row r="1374" spans="1:10" ht="13.5" thickBot="1">
      <c r="A1374" s="4"/>
      <c r="B1374" s="4"/>
      <c r="C1374" s="4"/>
      <c r="D1374" s="5"/>
      <c r="E1374" s="4"/>
      <c r="F1374" s="4"/>
      <c r="G1374" s="6"/>
      <c r="H1374" s="6"/>
      <c r="I1374" s="6"/>
      <c r="J1374" s="6"/>
    </row>
    <row r="1375" spans="1:10" ht="13.5" thickBot="1">
      <c r="A1375" s="4"/>
      <c r="B1375" s="4"/>
      <c r="C1375" s="4"/>
      <c r="D1375" s="5"/>
      <c r="E1375" s="4"/>
      <c r="F1375" s="4"/>
      <c r="G1375" s="6"/>
      <c r="H1375" s="6"/>
      <c r="I1375" s="6"/>
      <c r="J1375" s="6"/>
    </row>
    <row r="1376" spans="1:10" ht="13.5" thickBot="1">
      <c r="A1376" s="4"/>
      <c r="B1376" s="4"/>
      <c r="C1376" s="4"/>
      <c r="D1376" s="5"/>
      <c r="E1376" s="4"/>
      <c r="F1376" s="4"/>
      <c r="G1376" s="6"/>
      <c r="H1376" s="6"/>
      <c r="I1376" s="6"/>
      <c r="J1376" s="6"/>
    </row>
    <row r="1377" spans="1:10" ht="13.5" thickBot="1">
      <c r="A1377" s="4"/>
      <c r="B1377" s="4"/>
      <c r="C1377" s="4"/>
      <c r="D1377" s="5"/>
      <c r="E1377" s="4"/>
      <c r="F1377" s="4"/>
      <c r="G1377" s="6"/>
      <c r="H1377" s="6"/>
      <c r="I1377" s="6"/>
      <c r="J1377" s="6"/>
    </row>
    <row r="1378" spans="1:10" ht="13.5" thickBot="1">
      <c r="A1378" s="4"/>
      <c r="B1378" s="4"/>
      <c r="C1378" s="4"/>
      <c r="D1378" s="5"/>
      <c r="E1378" s="4"/>
      <c r="F1378" s="4"/>
      <c r="G1378" s="6"/>
      <c r="H1378" s="6"/>
      <c r="I1378" s="6"/>
      <c r="J1378" s="6"/>
    </row>
    <row r="1379" spans="1:10" ht="13.5" thickBot="1">
      <c r="A1379" s="4"/>
      <c r="B1379" s="4"/>
      <c r="C1379" s="4"/>
      <c r="D1379" s="5"/>
      <c r="E1379" s="4"/>
      <c r="F1379" s="4"/>
      <c r="G1379" s="6"/>
      <c r="H1379" s="6"/>
      <c r="I1379" s="6"/>
      <c r="J1379" s="6"/>
    </row>
    <row r="1380" spans="1:10" ht="13.5" thickBot="1">
      <c r="A1380" s="4"/>
      <c r="B1380" s="4"/>
      <c r="C1380" s="4"/>
      <c r="D1380" s="5"/>
      <c r="E1380" s="4"/>
      <c r="F1380" s="4"/>
      <c r="G1380" s="6"/>
      <c r="H1380" s="6"/>
      <c r="I1380" s="6"/>
      <c r="J1380" s="6"/>
    </row>
    <row r="1381" spans="1:10" ht="13.5" thickBot="1">
      <c r="A1381" s="4"/>
      <c r="B1381" s="4"/>
      <c r="C1381" s="4"/>
      <c r="D1381" s="5"/>
      <c r="E1381" s="4"/>
      <c r="F1381" s="4"/>
      <c r="G1381" s="6"/>
      <c r="H1381" s="6"/>
      <c r="I1381" s="6"/>
      <c r="J1381" s="6"/>
    </row>
    <row r="1382" spans="1:10" ht="13.5" thickBot="1">
      <c r="A1382" s="4"/>
      <c r="B1382" s="4"/>
      <c r="C1382" s="4"/>
      <c r="D1382" s="5"/>
      <c r="E1382" s="4"/>
      <c r="F1382" s="4"/>
      <c r="G1382" s="6"/>
      <c r="H1382" s="6"/>
      <c r="I1382" s="6"/>
      <c r="J1382" s="6"/>
    </row>
    <row r="1383" spans="1:10" ht="13.5" thickBot="1">
      <c r="A1383" s="4"/>
      <c r="B1383" s="4"/>
      <c r="C1383" s="4"/>
      <c r="D1383" s="5"/>
      <c r="E1383" s="4"/>
      <c r="F1383" s="4"/>
      <c r="G1383" s="6"/>
      <c r="H1383" s="6"/>
      <c r="I1383" s="6"/>
      <c r="J1383" s="6"/>
    </row>
    <row r="1384" spans="1:10" ht="13.5" thickBot="1">
      <c r="A1384" s="4"/>
      <c r="B1384" s="4"/>
      <c r="C1384" s="4"/>
      <c r="D1384" s="5"/>
      <c r="E1384" s="4"/>
      <c r="F1384" s="4"/>
      <c r="G1384" s="6"/>
      <c r="H1384" s="6"/>
      <c r="I1384" s="6"/>
      <c r="J1384" s="6"/>
    </row>
    <row r="1385" spans="1:10" ht="13.5" thickBot="1">
      <c r="A1385" s="4"/>
      <c r="B1385" s="4"/>
      <c r="C1385" s="4"/>
      <c r="D1385" s="5"/>
      <c r="E1385" s="4"/>
      <c r="F1385" s="4"/>
      <c r="G1385" s="6"/>
      <c r="H1385" s="6"/>
      <c r="I1385" s="6"/>
      <c r="J1385" s="6"/>
    </row>
    <row r="1386" spans="1:10" ht="13.5" thickBot="1">
      <c r="A1386" s="4"/>
      <c r="B1386" s="4"/>
      <c r="C1386" s="4"/>
      <c r="D1386" s="5"/>
      <c r="E1386" s="4"/>
      <c r="F1386" s="4"/>
      <c r="G1386" s="6"/>
      <c r="H1386" s="6"/>
      <c r="I1386" s="6"/>
      <c r="J1386" s="6"/>
    </row>
    <row r="1387" spans="1:10" ht="13.5" thickBot="1">
      <c r="A1387" s="4"/>
      <c r="B1387" s="4"/>
      <c r="C1387" s="4"/>
      <c r="D1387" s="5"/>
      <c r="E1387" s="4"/>
      <c r="F1387" s="4"/>
      <c r="G1387" s="6"/>
      <c r="H1387" s="6"/>
      <c r="I1387" s="6"/>
      <c r="J1387" s="6"/>
    </row>
    <row r="1388" spans="1:10" ht="13.5" thickBot="1">
      <c r="A1388" s="4"/>
      <c r="B1388" s="4"/>
      <c r="C1388" s="4"/>
      <c r="D1388" s="5"/>
      <c r="E1388" s="4"/>
      <c r="F1388" s="4"/>
      <c r="G1388" s="6"/>
      <c r="H1388" s="6"/>
      <c r="I1388" s="6"/>
      <c r="J1388" s="6"/>
    </row>
    <row r="1389" spans="1:10" ht="13.5" thickBot="1">
      <c r="A1389" s="4"/>
      <c r="B1389" s="4"/>
      <c r="C1389" s="4"/>
      <c r="D1389" s="5"/>
      <c r="E1389" s="4"/>
      <c r="F1389" s="4"/>
      <c r="G1389" s="6"/>
      <c r="H1389" s="6"/>
      <c r="I1389" s="6"/>
      <c r="J1389" s="6"/>
    </row>
    <row r="1390" spans="1:10" ht="13.5" thickBot="1">
      <c r="A1390" s="4"/>
      <c r="B1390" s="4"/>
      <c r="C1390" s="4"/>
      <c r="D1390" s="5"/>
      <c r="E1390" s="4"/>
      <c r="F1390" s="4"/>
      <c r="G1390" s="6"/>
      <c r="H1390" s="6"/>
      <c r="I1390" s="6"/>
      <c r="J1390" s="6"/>
    </row>
    <row r="1391" spans="1:10" ht="13.5" thickBot="1">
      <c r="A1391" s="4"/>
      <c r="B1391" s="4"/>
      <c r="C1391" s="4"/>
      <c r="D1391" s="5"/>
      <c r="E1391" s="4"/>
      <c r="F1391" s="4"/>
      <c r="G1391" s="6"/>
      <c r="H1391" s="6"/>
      <c r="I1391" s="6"/>
      <c r="J1391" s="6"/>
    </row>
    <row r="1392" spans="1:10" ht="13.5" thickBot="1">
      <c r="A1392" s="4"/>
      <c r="B1392" s="4"/>
      <c r="C1392" s="4"/>
      <c r="D1392" s="5"/>
      <c r="E1392" s="4"/>
      <c r="F1392" s="4"/>
      <c r="G1392" s="6"/>
      <c r="H1392" s="6"/>
      <c r="I1392" s="6"/>
      <c r="J1392" s="6"/>
    </row>
    <row r="1393" spans="1:10" ht="13.5" thickBot="1">
      <c r="A1393" s="4"/>
      <c r="B1393" s="4"/>
      <c r="C1393" s="4"/>
      <c r="D1393" s="5"/>
      <c r="E1393" s="4"/>
      <c r="F1393" s="4"/>
      <c r="G1393" s="6"/>
      <c r="H1393" s="6"/>
      <c r="I1393" s="6"/>
      <c r="J1393" s="6"/>
    </row>
    <row r="1394" spans="1:10" ht="13.5" thickBot="1">
      <c r="A1394" s="4"/>
      <c r="B1394" s="4"/>
      <c r="C1394" s="4"/>
      <c r="D1394" s="5"/>
      <c r="E1394" s="4"/>
      <c r="F1394" s="4"/>
      <c r="G1394" s="6"/>
      <c r="H1394" s="6"/>
      <c r="I1394" s="6"/>
      <c r="J1394" s="6"/>
    </row>
    <row r="1395" spans="1:10" ht="13.5" thickBot="1">
      <c r="A1395" s="4"/>
      <c r="B1395" s="4"/>
      <c r="C1395" s="4"/>
      <c r="D1395" s="5"/>
      <c r="E1395" s="4"/>
      <c r="F1395" s="4"/>
      <c r="G1395" s="6"/>
      <c r="H1395" s="6"/>
      <c r="I1395" s="6"/>
      <c r="J1395" s="6"/>
    </row>
    <row r="1396" spans="1:10" ht="13.5" thickBot="1">
      <c r="A1396" s="4"/>
      <c r="B1396" s="4"/>
      <c r="C1396" s="4"/>
      <c r="D1396" s="5"/>
      <c r="E1396" s="4"/>
      <c r="F1396" s="4"/>
      <c r="G1396" s="6"/>
      <c r="H1396" s="6"/>
      <c r="I1396" s="6"/>
      <c r="J1396" s="6"/>
    </row>
    <row r="1397" spans="1:10" ht="13.5" thickBot="1">
      <c r="A1397" s="4"/>
      <c r="B1397" s="4"/>
      <c r="C1397" s="4"/>
      <c r="D1397" s="5"/>
      <c r="E1397" s="4"/>
      <c r="F1397" s="4"/>
      <c r="G1397" s="6"/>
      <c r="H1397" s="6"/>
      <c r="I1397" s="6"/>
      <c r="J1397" s="6"/>
    </row>
    <row r="1398" spans="1:10" ht="13.5" thickBot="1">
      <c r="A1398" s="4"/>
      <c r="B1398" s="4"/>
      <c r="C1398" s="4"/>
      <c r="D1398" s="5"/>
      <c r="E1398" s="4"/>
      <c r="F1398" s="4"/>
      <c r="G1398" s="6"/>
      <c r="H1398" s="6"/>
      <c r="I1398" s="6"/>
      <c r="J1398" s="6"/>
    </row>
    <row r="1399" spans="1:10" ht="13.5" thickBot="1">
      <c r="A1399" s="4"/>
      <c r="B1399" s="4"/>
      <c r="C1399" s="4"/>
      <c r="D1399" s="5"/>
      <c r="E1399" s="4"/>
      <c r="F1399" s="4"/>
      <c r="G1399" s="6"/>
      <c r="H1399" s="6"/>
      <c r="I1399" s="6"/>
      <c r="J1399" s="6"/>
    </row>
    <row r="1400" spans="1:10" ht="13.5" thickBot="1">
      <c r="A1400" s="4"/>
      <c r="B1400" s="4"/>
      <c r="C1400" s="4"/>
      <c r="D1400" s="5"/>
      <c r="E1400" s="4"/>
      <c r="F1400" s="4"/>
      <c r="G1400" s="6"/>
      <c r="H1400" s="6"/>
      <c r="I1400" s="6"/>
      <c r="J1400" s="6"/>
    </row>
    <row r="1401" spans="1:10" ht="13.5" thickBot="1">
      <c r="A1401" s="4"/>
      <c r="B1401" s="4"/>
      <c r="C1401" s="4"/>
      <c r="D1401" s="5"/>
      <c r="E1401" s="4"/>
      <c r="F1401" s="4"/>
      <c r="G1401" s="6"/>
      <c r="H1401" s="6"/>
      <c r="I1401" s="6"/>
      <c r="J1401" s="6"/>
    </row>
    <row r="1402" spans="1:10" ht="13.5" thickBot="1">
      <c r="A1402" s="4"/>
      <c r="B1402" s="4"/>
      <c r="C1402" s="4"/>
      <c r="D1402" s="5"/>
      <c r="E1402" s="4"/>
      <c r="F1402" s="4"/>
      <c r="G1402" s="6"/>
      <c r="H1402" s="6"/>
      <c r="I1402" s="6"/>
      <c r="J1402" s="6"/>
    </row>
    <row r="1403" spans="1:10" ht="13.5" thickBot="1">
      <c r="A1403" s="4"/>
      <c r="B1403" s="4"/>
      <c r="C1403" s="4"/>
      <c r="D1403" s="5"/>
      <c r="E1403" s="4"/>
      <c r="F1403" s="4"/>
      <c r="G1403" s="6"/>
      <c r="H1403" s="6"/>
      <c r="I1403" s="6"/>
      <c r="J1403" s="6"/>
    </row>
    <row r="1404" spans="1:10" ht="13.5" thickBot="1">
      <c r="A1404" s="4"/>
      <c r="B1404" s="4"/>
      <c r="C1404" s="4"/>
      <c r="D1404" s="5"/>
      <c r="E1404" s="4"/>
      <c r="F1404" s="4"/>
      <c r="G1404" s="6"/>
      <c r="H1404" s="6"/>
      <c r="I1404" s="6"/>
      <c r="J1404" s="6"/>
    </row>
    <row r="1405" spans="1:10" ht="13.5" thickBot="1">
      <c r="A1405" s="4"/>
      <c r="B1405" s="4"/>
      <c r="C1405" s="4"/>
      <c r="D1405" s="5"/>
      <c r="E1405" s="4"/>
      <c r="F1405" s="4"/>
      <c r="G1405" s="6"/>
      <c r="H1405" s="6"/>
      <c r="I1405" s="6"/>
      <c r="J1405" s="6"/>
    </row>
    <row r="1406" spans="1:10" ht="13.5" thickBot="1">
      <c r="A1406" s="4"/>
      <c r="B1406" s="4"/>
      <c r="C1406" s="4"/>
      <c r="D1406" s="5"/>
      <c r="E1406" s="4"/>
      <c r="F1406" s="4"/>
      <c r="G1406" s="6"/>
      <c r="H1406" s="6"/>
      <c r="I1406" s="6"/>
      <c r="J1406" s="6"/>
    </row>
    <row r="1407" spans="1:10" ht="13.5" thickBot="1">
      <c r="A1407" s="4"/>
      <c r="B1407" s="4"/>
      <c r="C1407" s="4"/>
      <c r="D1407" s="5"/>
      <c r="E1407" s="4"/>
      <c r="F1407" s="4"/>
      <c r="G1407" s="6"/>
      <c r="H1407" s="6"/>
      <c r="I1407" s="6"/>
      <c r="J1407" s="6"/>
    </row>
    <row r="1408" spans="1:10" ht="13.5" thickBot="1">
      <c r="A1408" s="4"/>
      <c r="B1408" s="4"/>
      <c r="C1408" s="4"/>
      <c r="D1408" s="5"/>
      <c r="E1408" s="4"/>
      <c r="F1408" s="4"/>
      <c r="G1408" s="6"/>
      <c r="H1408" s="6"/>
      <c r="I1408" s="6"/>
      <c r="J1408" s="6"/>
    </row>
    <row r="1409" spans="1:10" ht="13.5" thickBot="1">
      <c r="A1409" s="4"/>
      <c r="B1409" s="4"/>
      <c r="C1409" s="4"/>
      <c r="D1409" s="5"/>
      <c r="E1409" s="4"/>
      <c r="F1409" s="4"/>
      <c r="G1409" s="6"/>
      <c r="H1409" s="6"/>
      <c r="I1409" s="6"/>
      <c r="J1409" s="6"/>
    </row>
    <row r="1410" spans="1:10" ht="13.5" thickBot="1">
      <c r="A1410" s="4"/>
      <c r="B1410" s="4"/>
      <c r="C1410" s="4"/>
      <c r="D1410" s="5"/>
      <c r="E1410" s="4"/>
      <c r="F1410" s="4"/>
      <c r="G1410" s="6"/>
      <c r="H1410" s="6"/>
      <c r="I1410" s="6"/>
      <c r="J1410" s="6"/>
    </row>
    <row r="1411" spans="1:10" ht="13.5" thickBot="1">
      <c r="A1411" s="4"/>
      <c r="B1411" s="4"/>
      <c r="C1411" s="4"/>
      <c r="D1411" s="5"/>
      <c r="E1411" s="4"/>
      <c r="F1411" s="4"/>
      <c r="G1411" s="6"/>
      <c r="H1411" s="6"/>
      <c r="I1411" s="6"/>
      <c r="J1411" s="6"/>
    </row>
    <row r="1412" spans="1:10" ht="13.5" thickBot="1">
      <c r="A1412" s="4"/>
      <c r="B1412" s="4"/>
      <c r="C1412" s="4"/>
      <c r="D1412" s="5"/>
      <c r="E1412" s="4"/>
      <c r="F1412" s="4"/>
      <c r="G1412" s="6"/>
      <c r="H1412" s="6"/>
      <c r="I1412" s="6"/>
      <c r="J1412" s="6"/>
    </row>
    <row r="1413" spans="1:10" ht="13.5" thickBot="1">
      <c r="A1413" s="4"/>
      <c r="B1413" s="4"/>
      <c r="C1413" s="4"/>
      <c r="D1413" s="5"/>
      <c r="E1413" s="4"/>
      <c r="F1413" s="4"/>
      <c r="G1413" s="6"/>
      <c r="H1413" s="6"/>
      <c r="I1413" s="6"/>
      <c r="J1413" s="6"/>
    </row>
    <row r="1414" spans="1:10" ht="13.5" thickBot="1">
      <c r="A1414" s="4"/>
      <c r="B1414" s="4"/>
      <c r="C1414" s="4"/>
      <c r="D1414" s="5"/>
      <c r="E1414" s="4"/>
      <c r="F1414" s="4"/>
      <c r="G1414" s="6"/>
      <c r="H1414" s="6"/>
      <c r="I1414" s="6"/>
      <c r="J1414" s="6"/>
    </row>
    <row r="1415" spans="1:10" ht="13.5" thickBot="1">
      <c r="A1415" s="4"/>
      <c r="B1415" s="4"/>
      <c r="C1415" s="4"/>
      <c r="D1415" s="5"/>
      <c r="E1415" s="4"/>
      <c r="F1415" s="4"/>
      <c r="G1415" s="6"/>
      <c r="H1415" s="6"/>
      <c r="I1415" s="6"/>
      <c r="J1415" s="6"/>
    </row>
    <row r="1416" spans="1:10" ht="13.5" thickBot="1">
      <c r="A1416" s="4"/>
      <c r="B1416" s="4"/>
      <c r="C1416" s="4"/>
      <c r="D1416" s="5"/>
      <c r="E1416" s="4"/>
      <c r="F1416" s="4"/>
      <c r="G1416" s="6"/>
      <c r="H1416" s="6"/>
      <c r="I1416" s="6"/>
      <c r="J1416" s="6"/>
    </row>
    <row r="1417" spans="1:10" ht="13.5" thickBot="1">
      <c r="A1417" s="4"/>
      <c r="B1417" s="4"/>
      <c r="C1417" s="4"/>
      <c r="D1417" s="5"/>
      <c r="E1417" s="4"/>
      <c r="F1417" s="4"/>
      <c r="G1417" s="6"/>
      <c r="H1417" s="6"/>
      <c r="I1417" s="6"/>
      <c r="J1417" s="6"/>
    </row>
    <row r="1418" spans="1:10" ht="13.5" thickBot="1">
      <c r="A1418" s="4"/>
      <c r="B1418" s="4"/>
      <c r="C1418" s="4"/>
      <c r="D1418" s="5"/>
      <c r="E1418" s="4"/>
      <c r="F1418" s="4"/>
      <c r="G1418" s="6"/>
      <c r="H1418" s="6"/>
      <c r="I1418" s="6"/>
      <c r="J1418" s="6"/>
    </row>
    <row r="1419" spans="1:10" ht="13.5" thickBot="1">
      <c r="A1419" s="4"/>
      <c r="B1419" s="4"/>
      <c r="C1419" s="4"/>
      <c r="D1419" s="5"/>
      <c r="E1419" s="4"/>
      <c r="F1419" s="4"/>
      <c r="G1419" s="6"/>
      <c r="H1419" s="6"/>
      <c r="I1419" s="6"/>
      <c r="J1419" s="6"/>
    </row>
    <row r="1420" spans="1:10" ht="13.5" thickBot="1">
      <c r="A1420" s="4"/>
      <c r="B1420" s="4"/>
      <c r="C1420" s="4"/>
      <c r="D1420" s="5"/>
      <c r="E1420" s="4"/>
      <c r="F1420" s="4"/>
      <c r="G1420" s="6"/>
      <c r="H1420" s="6"/>
      <c r="I1420" s="6"/>
      <c r="J1420" s="6"/>
    </row>
    <row r="1421" spans="1:10" ht="13.5" thickBot="1">
      <c r="A1421" s="4"/>
      <c r="B1421" s="4"/>
      <c r="C1421" s="4"/>
      <c r="D1421" s="5"/>
      <c r="E1421" s="4"/>
      <c r="F1421" s="4"/>
      <c r="G1421" s="6"/>
      <c r="H1421" s="6"/>
      <c r="I1421" s="6"/>
      <c r="J1421" s="6"/>
    </row>
    <row r="1422" spans="1:10" ht="13.5" thickBot="1">
      <c r="A1422" s="4"/>
      <c r="B1422" s="4"/>
      <c r="C1422" s="4"/>
      <c r="D1422" s="5"/>
      <c r="E1422" s="4"/>
      <c r="F1422" s="4"/>
      <c r="G1422" s="6"/>
      <c r="H1422" s="6"/>
      <c r="I1422" s="6"/>
      <c r="J1422" s="6"/>
    </row>
    <row r="1423" spans="1:10" ht="13.5" thickBot="1">
      <c r="A1423" s="4"/>
      <c r="B1423" s="4"/>
      <c r="C1423" s="4"/>
      <c r="D1423" s="5"/>
      <c r="E1423" s="4"/>
      <c r="F1423" s="4"/>
      <c r="G1423" s="6"/>
      <c r="H1423" s="6"/>
      <c r="I1423" s="6"/>
      <c r="J1423" s="6"/>
    </row>
    <row r="1424" spans="1:10" ht="13.5" thickBot="1">
      <c r="A1424" s="4"/>
      <c r="B1424" s="4"/>
      <c r="C1424" s="4"/>
      <c r="D1424" s="5"/>
      <c r="E1424" s="4"/>
      <c r="F1424" s="4"/>
      <c r="G1424" s="6"/>
      <c r="H1424" s="6"/>
      <c r="I1424" s="6"/>
      <c r="J1424" s="6"/>
    </row>
    <row r="1425" spans="1:10" ht="13.5" thickBot="1">
      <c r="A1425" s="4"/>
      <c r="B1425" s="4"/>
      <c r="C1425" s="4"/>
      <c r="D1425" s="5"/>
      <c r="E1425" s="4"/>
      <c r="F1425" s="4"/>
      <c r="G1425" s="6"/>
      <c r="H1425" s="6"/>
      <c r="I1425" s="6"/>
      <c r="J1425" s="6"/>
    </row>
    <row r="1426" spans="1:10" ht="13.5" thickBot="1">
      <c r="A1426" s="4"/>
      <c r="B1426" s="4"/>
      <c r="C1426" s="4"/>
      <c r="D1426" s="5"/>
      <c r="E1426" s="4"/>
      <c r="F1426" s="4"/>
      <c r="G1426" s="6"/>
      <c r="H1426" s="6"/>
      <c r="I1426" s="6"/>
      <c r="J1426" s="6"/>
    </row>
    <row r="1427" spans="1:10" ht="13.5" thickBot="1">
      <c r="A1427" s="4"/>
      <c r="B1427" s="4"/>
      <c r="C1427" s="4"/>
      <c r="D1427" s="5"/>
      <c r="E1427" s="4"/>
      <c r="F1427" s="4"/>
      <c r="G1427" s="6"/>
      <c r="H1427" s="6"/>
      <c r="I1427" s="6"/>
      <c r="J1427" s="6"/>
    </row>
    <row r="1428" spans="1:10" ht="13.5" thickBot="1">
      <c r="A1428" s="4"/>
      <c r="B1428" s="4"/>
      <c r="C1428" s="4"/>
      <c r="D1428" s="5"/>
      <c r="E1428" s="4"/>
      <c r="F1428" s="4"/>
      <c r="G1428" s="6"/>
      <c r="H1428" s="6"/>
      <c r="I1428" s="6"/>
      <c r="J1428" s="6"/>
    </row>
    <row r="1429" spans="1:10" ht="13.5" thickBot="1">
      <c r="A1429" s="4"/>
      <c r="B1429" s="4"/>
      <c r="C1429" s="4"/>
      <c r="D1429" s="5"/>
      <c r="E1429" s="4"/>
      <c r="F1429" s="4"/>
      <c r="G1429" s="6"/>
      <c r="H1429" s="6"/>
      <c r="I1429" s="6"/>
      <c r="J1429" s="6"/>
    </row>
    <row r="1430" spans="1:10" ht="13.5" thickBot="1">
      <c r="A1430" s="4"/>
      <c r="B1430" s="4"/>
      <c r="C1430" s="4"/>
      <c r="D1430" s="5"/>
      <c r="E1430" s="4"/>
      <c r="F1430" s="4"/>
      <c r="G1430" s="6"/>
      <c r="H1430" s="6"/>
      <c r="I1430" s="6"/>
      <c r="J1430" s="6"/>
    </row>
    <row r="1431" spans="1:10" ht="13.5" thickBot="1">
      <c r="A1431" s="4"/>
      <c r="B1431" s="4"/>
      <c r="C1431" s="4"/>
      <c r="D1431" s="5"/>
      <c r="E1431" s="4"/>
      <c r="F1431" s="4"/>
      <c r="G1431" s="6"/>
      <c r="H1431" s="6"/>
      <c r="I1431" s="6"/>
      <c r="J1431" s="6"/>
    </row>
    <row r="1432" spans="1:10" ht="13.5" thickBot="1">
      <c r="A1432" s="4"/>
      <c r="B1432" s="4"/>
      <c r="C1432" s="4"/>
      <c r="D1432" s="5"/>
      <c r="E1432" s="4"/>
      <c r="F1432" s="4"/>
      <c r="G1432" s="6"/>
      <c r="H1432" s="6"/>
      <c r="I1432" s="6"/>
      <c r="J1432" s="6"/>
    </row>
    <row r="1433" spans="1:10" ht="13.5" thickBot="1">
      <c r="A1433" s="4"/>
      <c r="B1433" s="4"/>
      <c r="C1433" s="4"/>
      <c r="D1433" s="5"/>
      <c r="E1433" s="4"/>
      <c r="F1433" s="4"/>
      <c r="G1433" s="6"/>
      <c r="H1433" s="6"/>
      <c r="I1433" s="6"/>
      <c r="J1433" s="6"/>
    </row>
    <row r="1434" spans="1:10" ht="13.5" thickBot="1">
      <c r="A1434" s="4"/>
      <c r="B1434" s="4"/>
      <c r="C1434" s="4"/>
      <c r="D1434" s="5"/>
      <c r="E1434" s="4"/>
      <c r="F1434" s="4"/>
      <c r="G1434" s="6"/>
      <c r="H1434" s="6"/>
      <c r="I1434" s="6"/>
      <c r="J1434" s="6"/>
    </row>
    <row r="1435" spans="1:10" ht="13.5" thickBot="1">
      <c r="A1435" s="4"/>
      <c r="B1435" s="4"/>
      <c r="C1435" s="4"/>
      <c r="D1435" s="5"/>
      <c r="E1435" s="4"/>
      <c r="F1435" s="4"/>
      <c r="G1435" s="6"/>
      <c r="H1435" s="6"/>
      <c r="I1435" s="6"/>
      <c r="J1435" s="6"/>
    </row>
    <row r="1436" spans="1:10" ht="13.5" thickBot="1">
      <c r="A1436" s="4"/>
      <c r="B1436" s="4"/>
      <c r="C1436" s="4"/>
      <c r="D1436" s="5"/>
      <c r="E1436" s="4"/>
      <c r="F1436" s="4"/>
      <c r="G1436" s="6"/>
      <c r="H1436" s="6"/>
      <c r="I1436" s="6"/>
      <c r="J1436" s="6"/>
    </row>
    <row r="1437" spans="1:10" ht="13.5" thickBot="1">
      <c r="A1437" s="4"/>
      <c r="B1437" s="4"/>
      <c r="C1437" s="4"/>
      <c r="D1437" s="5"/>
      <c r="E1437" s="4"/>
      <c r="F1437" s="4"/>
      <c r="G1437" s="6"/>
      <c r="H1437" s="6"/>
      <c r="I1437" s="6"/>
      <c r="J1437" s="6"/>
    </row>
    <row r="1438" spans="1:10" ht="13.5" thickBot="1">
      <c r="A1438" s="4"/>
      <c r="B1438" s="4"/>
      <c r="C1438" s="4"/>
      <c r="D1438" s="5"/>
      <c r="E1438" s="4"/>
      <c r="F1438" s="4"/>
      <c r="G1438" s="6"/>
      <c r="H1438" s="6"/>
      <c r="I1438" s="6"/>
      <c r="J1438" s="6"/>
    </row>
    <row r="1439" spans="1:10" ht="13.5" thickBot="1">
      <c r="A1439" s="4"/>
      <c r="B1439" s="4"/>
      <c r="C1439" s="4"/>
      <c r="D1439" s="5"/>
      <c r="E1439" s="4"/>
      <c r="F1439" s="4"/>
      <c r="G1439" s="6"/>
      <c r="H1439" s="6"/>
      <c r="I1439" s="6"/>
      <c r="J1439" s="6"/>
    </row>
    <row r="1440" spans="1:10" ht="13.5" thickBot="1">
      <c r="A1440" s="4"/>
      <c r="B1440" s="4"/>
      <c r="C1440" s="4"/>
      <c r="D1440" s="5"/>
      <c r="E1440" s="4"/>
      <c r="F1440" s="4"/>
      <c r="G1440" s="6"/>
      <c r="H1440" s="6"/>
      <c r="I1440" s="6"/>
      <c r="J1440" s="6"/>
    </row>
    <row r="1441" spans="1:10" ht="13.5" thickBot="1">
      <c r="A1441" s="4"/>
      <c r="B1441" s="4"/>
      <c r="C1441" s="4"/>
      <c r="D1441" s="5"/>
      <c r="E1441" s="4"/>
      <c r="F1441" s="4"/>
      <c r="G1441" s="6"/>
      <c r="H1441" s="6"/>
      <c r="I1441" s="6"/>
      <c r="J1441" s="6"/>
    </row>
    <row r="1442" spans="1:10" ht="13.5" thickBot="1">
      <c r="A1442" s="4"/>
      <c r="B1442" s="4"/>
      <c r="C1442" s="4"/>
      <c r="D1442" s="5"/>
      <c r="E1442" s="4"/>
      <c r="F1442" s="4"/>
      <c r="G1442" s="6"/>
      <c r="H1442" s="6"/>
      <c r="I1442" s="6"/>
      <c r="J1442" s="6"/>
    </row>
    <row r="1443" spans="1:10" ht="13.5" thickBot="1">
      <c r="A1443" s="4"/>
      <c r="B1443" s="4"/>
      <c r="C1443" s="4"/>
      <c r="D1443" s="5"/>
      <c r="E1443" s="4"/>
      <c r="F1443" s="4"/>
      <c r="G1443" s="6"/>
      <c r="H1443" s="6"/>
      <c r="I1443" s="6"/>
      <c r="J1443" s="6"/>
    </row>
    <row r="1444" spans="1:10" ht="13.5" thickBot="1">
      <c r="A1444" s="4"/>
      <c r="B1444" s="4"/>
      <c r="C1444" s="4"/>
      <c r="D1444" s="5"/>
      <c r="E1444" s="4"/>
      <c r="F1444" s="4"/>
      <c r="G1444" s="6"/>
      <c r="H1444" s="6"/>
      <c r="I1444" s="6"/>
      <c r="J1444" s="6"/>
    </row>
    <row r="1445" spans="1:10" ht="13.5" thickBot="1">
      <c r="A1445" s="4"/>
      <c r="B1445" s="4"/>
      <c r="C1445" s="4"/>
      <c r="D1445" s="5"/>
      <c r="E1445" s="4"/>
      <c r="F1445" s="4"/>
      <c r="G1445" s="6"/>
      <c r="H1445" s="6"/>
      <c r="I1445" s="6"/>
      <c r="J1445" s="6"/>
    </row>
    <row r="1446" spans="1:10" ht="13.5" thickBot="1">
      <c r="A1446" s="4"/>
      <c r="B1446" s="4"/>
      <c r="C1446" s="4"/>
      <c r="D1446" s="5"/>
      <c r="E1446" s="4"/>
      <c r="F1446" s="4"/>
      <c r="G1446" s="6"/>
      <c r="H1446" s="6"/>
      <c r="I1446" s="6"/>
      <c r="J1446" s="6"/>
    </row>
    <row r="1447" spans="1:10" ht="13.5" thickBot="1">
      <c r="A1447" s="4"/>
      <c r="B1447" s="4"/>
      <c r="C1447" s="4"/>
      <c r="D1447" s="5"/>
      <c r="E1447" s="4"/>
      <c r="F1447" s="4"/>
      <c r="G1447" s="6"/>
      <c r="H1447" s="6"/>
      <c r="I1447" s="6"/>
      <c r="J1447" s="6"/>
    </row>
    <row r="1448" spans="1:10" ht="13.5" thickBot="1">
      <c r="A1448" s="4"/>
      <c r="B1448" s="4"/>
      <c r="C1448" s="4"/>
      <c r="D1448" s="5"/>
      <c r="E1448" s="4"/>
      <c r="F1448" s="4"/>
      <c r="G1448" s="6"/>
      <c r="H1448" s="6"/>
      <c r="I1448" s="6"/>
      <c r="J1448" s="6"/>
    </row>
    <row r="1449" spans="1:10" ht="13.5" thickBot="1">
      <c r="A1449" s="4"/>
      <c r="B1449" s="4"/>
      <c r="C1449" s="4"/>
      <c r="D1449" s="5"/>
      <c r="E1449" s="4"/>
      <c r="F1449" s="4"/>
      <c r="G1449" s="6"/>
      <c r="H1449" s="6"/>
      <c r="I1449" s="6"/>
      <c r="J1449" s="6"/>
    </row>
    <row r="1450" spans="1:10" ht="13.5" thickBot="1">
      <c r="A1450" s="4"/>
      <c r="B1450" s="4"/>
      <c r="C1450" s="4"/>
      <c r="D1450" s="5"/>
      <c r="E1450" s="4"/>
      <c r="F1450" s="4"/>
      <c r="G1450" s="6"/>
      <c r="H1450" s="6"/>
      <c r="I1450" s="6"/>
      <c r="J1450" s="6"/>
    </row>
    <row r="1451" spans="1:10" ht="13.5" thickBot="1">
      <c r="A1451" s="4"/>
      <c r="B1451" s="4"/>
      <c r="C1451" s="4"/>
      <c r="D1451" s="5"/>
      <c r="E1451" s="4"/>
      <c r="F1451" s="4"/>
      <c r="G1451" s="6"/>
      <c r="H1451" s="6"/>
      <c r="I1451" s="6"/>
      <c r="J1451" s="6"/>
    </row>
    <row r="1452" spans="1:10" ht="13.5" thickBot="1">
      <c r="A1452" s="4"/>
      <c r="B1452" s="4"/>
      <c r="C1452" s="4"/>
      <c r="D1452" s="5"/>
      <c r="E1452" s="4"/>
      <c r="F1452" s="4"/>
      <c r="G1452" s="6"/>
      <c r="H1452" s="6"/>
      <c r="I1452" s="6"/>
      <c r="J1452" s="6"/>
    </row>
    <row r="1453" spans="1:10" ht="13.5" thickBot="1">
      <c r="A1453" s="4"/>
      <c r="B1453" s="4"/>
      <c r="C1453" s="4"/>
      <c r="D1453" s="5"/>
      <c r="E1453" s="4"/>
      <c r="F1453" s="4"/>
      <c r="G1453" s="6"/>
      <c r="H1453" s="6"/>
      <c r="I1453" s="6"/>
      <c r="J1453" s="6"/>
    </row>
    <row r="1454" spans="1:10" ht="13.5" thickBot="1">
      <c r="A1454" s="4"/>
      <c r="B1454" s="4"/>
      <c r="C1454" s="4"/>
      <c r="D1454" s="5"/>
      <c r="E1454" s="4"/>
      <c r="F1454" s="4"/>
      <c r="G1454" s="6"/>
      <c r="H1454" s="6"/>
      <c r="I1454" s="6"/>
      <c r="J1454" s="6"/>
    </row>
    <row r="1455" spans="1:10" ht="13.5" thickBot="1">
      <c r="A1455" s="4"/>
      <c r="B1455" s="4"/>
      <c r="C1455" s="4"/>
      <c r="D1455" s="5"/>
      <c r="E1455" s="4"/>
      <c r="F1455" s="4"/>
      <c r="G1455" s="6"/>
      <c r="H1455" s="6"/>
      <c r="I1455" s="6"/>
      <c r="J1455" s="6"/>
    </row>
    <row r="1456" spans="1:10" ht="13.5" thickBot="1">
      <c r="A1456" s="4"/>
      <c r="B1456" s="4"/>
      <c r="C1456" s="4"/>
      <c r="D1456" s="5"/>
      <c r="E1456" s="4"/>
      <c r="F1456" s="4"/>
      <c r="G1456" s="6"/>
      <c r="H1456" s="6"/>
      <c r="I1456" s="6"/>
      <c r="J1456" s="6"/>
    </row>
    <row r="1457" spans="1:10" ht="13.5" thickBot="1">
      <c r="A1457" s="4"/>
      <c r="B1457" s="4"/>
      <c r="C1457" s="4"/>
      <c r="D1457" s="5"/>
      <c r="E1457" s="4"/>
      <c r="F1457" s="4"/>
      <c r="G1457" s="6"/>
      <c r="H1457" s="6"/>
      <c r="I1457" s="6"/>
      <c r="J1457" s="6"/>
    </row>
    <row r="1458" spans="1:10" ht="13.5" thickBot="1">
      <c r="A1458" s="4"/>
      <c r="B1458" s="4"/>
      <c r="C1458" s="4"/>
      <c r="D1458" s="5"/>
      <c r="E1458" s="4"/>
      <c r="F1458" s="4"/>
      <c r="G1458" s="6"/>
      <c r="H1458" s="6"/>
      <c r="I1458" s="6"/>
      <c r="J1458" s="6"/>
    </row>
    <row r="1459" spans="1:10" ht="13.5" thickBot="1">
      <c r="A1459" s="4"/>
      <c r="B1459" s="4"/>
      <c r="C1459" s="4"/>
      <c r="D1459" s="5"/>
      <c r="E1459" s="4"/>
      <c r="F1459" s="4"/>
      <c r="G1459" s="6"/>
      <c r="H1459" s="6"/>
      <c r="I1459" s="6"/>
      <c r="J1459" s="6"/>
    </row>
    <row r="1460" spans="1:10" ht="13.5" thickBot="1">
      <c r="A1460" s="4"/>
      <c r="B1460" s="4"/>
      <c r="C1460" s="4"/>
      <c r="D1460" s="5"/>
      <c r="E1460" s="4"/>
      <c r="F1460" s="4"/>
      <c r="G1460" s="6"/>
      <c r="H1460" s="6"/>
      <c r="I1460" s="6"/>
      <c r="J1460" s="6"/>
    </row>
    <row r="1461" spans="1:10" ht="13.5" thickBot="1">
      <c r="A1461" s="4"/>
      <c r="B1461" s="4"/>
      <c r="C1461" s="4"/>
      <c r="D1461" s="5"/>
      <c r="E1461" s="4"/>
      <c r="F1461" s="4"/>
      <c r="G1461" s="6"/>
      <c r="H1461" s="6"/>
      <c r="I1461" s="6"/>
      <c r="J1461" s="6"/>
    </row>
    <row r="1462" spans="1:10" ht="13.5" thickBot="1">
      <c r="A1462" s="4"/>
      <c r="B1462" s="4"/>
      <c r="C1462" s="4"/>
      <c r="D1462" s="5"/>
      <c r="E1462" s="4"/>
      <c r="F1462" s="4"/>
      <c r="G1462" s="6"/>
      <c r="H1462" s="6"/>
      <c r="I1462" s="6"/>
      <c r="J1462" s="6"/>
    </row>
    <row r="1463" spans="1:10" ht="13.5" thickBot="1">
      <c r="A1463" s="4"/>
      <c r="B1463" s="4"/>
      <c r="C1463" s="4"/>
      <c r="D1463" s="5"/>
      <c r="E1463" s="4"/>
      <c r="F1463" s="4"/>
      <c r="G1463" s="6"/>
      <c r="H1463" s="6"/>
      <c r="I1463" s="6"/>
      <c r="J1463" s="6"/>
    </row>
    <row r="1464" spans="1:10" ht="13.5" thickBot="1">
      <c r="A1464" s="4"/>
      <c r="B1464" s="4"/>
      <c r="C1464" s="4"/>
      <c r="D1464" s="5"/>
      <c r="E1464" s="4"/>
      <c r="F1464" s="4"/>
      <c r="G1464" s="6"/>
      <c r="H1464" s="6"/>
      <c r="I1464" s="6"/>
      <c r="J1464" s="6"/>
    </row>
    <row r="1465" spans="1:10" ht="13.5" thickBot="1">
      <c r="A1465" s="4"/>
      <c r="B1465" s="4"/>
      <c r="C1465" s="4"/>
      <c r="D1465" s="5"/>
      <c r="E1465" s="4"/>
      <c r="F1465" s="4"/>
      <c r="G1465" s="6"/>
      <c r="H1465" s="6"/>
      <c r="I1465" s="6"/>
      <c r="J1465" s="6"/>
    </row>
    <row r="1466" spans="1:10" ht="13.5" thickBot="1">
      <c r="A1466" s="4"/>
      <c r="B1466" s="4"/>
      <c r="C1466" s="4"/>
      <c r="D1466" s="5"/>
      <c r="E1466" s="4"/>
      <c r="F1466" s="4"/>
      <c r="G1466" s="6"/>
      <c r="H1466" s="6"/>
      <c r="I1466" s="6"/>
      <c r="J1466" s="6"/>
    </row>
    <row r="1467" spans="1:10" ht="13.5" thickBot="1">
      <c r="A1467" s="4"/>
      <c r="B1467" s="4"/>
      <c r="C1467" s="4"/>
      <c r="D1467" s="5"/>
      <c r="E1467" s="4"/>
      <c r="F1467" s="4"/>
      <c r="G1467" s="6"/>
      <c r="H1467" s="6"/>
      <c r="I1467" s="6"/>
      <c r="J1467" s="6"/>
    </row>
    <row r="1468" spans="1:10" ht="13.5" thickBot="1">
      <c r="A1468" s="4"/>
      <c r="B1468" s="4"/>
      <c r="C1468" s="4"/>
      <c r="D1468" s="5"/>
      <c r="E1468" s="4"/>
      <c r="F1468" s="4"/>
      <c r="G1468" s="6"/>
      <c r="H1468" s="6"/>
      <c r="I1468" s="6"/>
      <c r="J1468" s="6"/>
    </row>
    <row r="1469" spans="1:10" ht="13.5" thickBot="1">
      <c r="A1469" s="4"/>
      <c r="B1469" s="4"/>
      <c r="C1469" s="4"/>
      <c r="D1469" s="5"/>
      <c r="E1469" s="4"/>
      <c r="F1469" s="4"/>
      <c r="G1469" s="6"/>
      <c r="H1469" s="6"/>
      <c r="I1469" s="6"/>
      <c r="J1469" s="6"/>
    </row>
    <row r="1470" spans="1:10" ht="13.5" thickBot="1">
      <c r="A1470" s="4"/>
      <c r="B1470" s="4"/>
      <c r="C1470" s="4"/>
      <c r="D1470" s="5"/>
      <c r="E1470" s="4"/>
      <c r="F1470" s="4"/>
      <c r="G1470" s="6"/>
      <c r="H1470" s="6"/>
      <c r="I1470" s="6"/>
      <c r="J1470" s="6"/>
    </row>
    <row r="1471" spans="1:10" ht="13.5" thickBot="1">
      <c r="A1471" s="4"/>
      <c r="B1471" s="4"/>
      <c r="C1471" s="4"/>
      <c r="D1471" s="5"/>
      <c r="E1471" s="4"/>
      <c r="F1471" s="4"/>
      <c r="G1471" s="6"/>
      <c r="H1471" s="6"/>
      <c r="I1471" s="6"/>
      <c r="J1471" s="6"/>
    </row>
    <row r="1472" spans="1:10" ht="13.5" thickBot="1">
      <c r="A1472" s="4"/>
      <c r="B1472" s="4"/>
      <c r="C1472" s="4"/>
      <c r="D1472" s="5"/>
      <c r="E1472" s="4"/>
      <c r="F1472" s="4"/>
      <c r="G1472" s="6"/>
      <c r="H1472" s="6"/>
      <c r="I1472" s="6"/>
      <c r="J1472" s="6"/>
    </row>
    <row r="1473" spans="1:10" ht="13.5" thickBot="1">
      <c r="A1473" s="4"/>
      <c r="B1473" s="4"/>
      <c r="C1473" s="4"/>
      <c r="D1473" s="5"/>
      <c r="E1473" s="4"/>
      <c r="F1473" s="4"/>
      <c r="G1473" s="6"/>
      <c r="H1473" s="6"/>
      <c r="I1473" s="6"/>
      <c r="J1473" s="6"/>
    </row>
    <row r="1474" spans="1:10" ht="13.5" thickBot="1">
      <c r="A1474" s="4"/>
      <c r="B1474" s="4"/>
      <c r="C1474" s="4"/>
      <c r="D1474" s="5"/>
      <c r="E1474" s="4"/>
      <c r="F1474" s="4"/>
      <c r="G1474" s="6"/>
      <c r="H1474" s="6"/>
      <c r="I1474" s="6"/>
      <c r="J1474" s="6"/>
    </row>
    <row r="1475" spans="1:10" ht="13.5" thickBot="1">
      <c r="A1475" s="4"/>
      <c r="B1475" s="4"/>
      <c r="C1475" s="4"/>
      <c r="D1475" s="5"/>
      <c r="E1475" s="4"/>
      <c r="F1475" s="4"/>
      <c r="G1475" s="6"/>
      <c r="H1475" s="6"/>
      <c r="I1475" s="6"/>
      <c r="J1475" s="6"/>
    </row>
    <row r="1476" spans="1:10" ht="13.5" thickBot="1">
      <c r="A1476" s="4"/>
      <c r="B1476" s="4"/>
      <c r="C1476" s="4"/>
      <c r="D1476" s="5"/>
      <c r="E1476" s="4"/>
      <c r="F1476" s="4"/>
      <c r="G1476" s="6"/>
      <c r="H1476" s="6"/>
      <c r="I1476" s="6"/>
      <c r="J1476" s="6"/>
    </row>
    <row r="1477" spans="1:10" ht="13.5" thickBot="1">
      <c r="A1477" s="4"/>
      <c r="B1477" s="4"/>
      <c r="C1477" s="4"/>
      <c r="D1477" s="5"/>
      <c r="E1477" s="4"/>
      <c r="F1477" s="4"/>
      <c r="G1477" s="6"/>
      <c r="H1477" s="6"/>
      <c r="I1477" s="6"/>
      <c r="J1477" s="6"/>
    </row>
    <row r="1478" spans="1:10" ht="13.5" thickBot="1">
      <c r="A1478" s="4"/>
      <c r="B1478" s="4"/>
      <c r="C1478" s="4"/>
      <c r="D1478" s="5"/>
      <c r="E1478" s="4"/>
      <c r="F1478" s="4"/>
      <c r="G1478" s="6"/>
      <c r="H1478" s="6"/>
      <c r="I1478" s="6"/>
      <c r="J1478" s="6"/>
    </row>
    <row r="1479" spans="1:10" ht="13.5" thickBot="1">
      <c r="A1479" s="4"/>
      <c r="B1479" s="4"/>
      <c r="C1479" s="4"/>
      <c r="D1479" s="5"/>
      <c r="E1479" s="4"/>
      <c r="F1479" s="4"/>
      <c r="G1479" s="6"/>
      <c r="H1479" s="6"/>
      <c r="I1479" s="6"/>
      <c r="J1479" s="6"/>
    </row>
    <row r="1480" spans="1:10" ht="13.5" thickBot="1">
      <c r="A1480" s="4"/>
      <c r="B1480" s="4"/>
      <c r="C1480" s="4"/>
      <c r="D1480" s="5"/>
      <c r="E1480" s="4"/>
      <c r="F1480" s="4"/>
      <c r="G1480" s="6"/>
      <c r="H1480" s="6"/>
      <c r="I1480" s="6"/>
      <c r="J1480" s="6"/>
    </row>
    <row r="1481" spans="1:10" ht="13.5" thickBot="1">
      <c r="A1481" s="4"/>
      <c r="B1481" s="4"/>
      <c r="C1481" s="4"/>
      <c r="D1481" s="5"/>
      <c r="E1481" s="4"/>
      <c r="F1481" s="4"/>
      <c r="G1481" s="6"/>
      <c r="H1481" s="6"/>
      <c r="I1481" s="6"/>
      <c r="J1481" s="6"/>
    </row>
    <row r="1482" spans="1:10" ht="13.5" thickBot="1">
      <c r="A1482" s="4"/>
      <c r="B1482" s="4"/>
      <c r="C1482" s="4"/>
      <c r="D1482" s="5"/>
      <c r="E1482" s="4"/>
      <c r="F1482" s="4"/>
      <c r="G1482" s="6"/>
      <c r="H1482" s="6"/>
      <c r="I1482" s="6"/>
      <c r="J1482" s="6"/>
    </row>
    <row r="1483" spans="1:10" ht="13.5" thickBot="1">
      <c r="A1483" s="4"/>
      <c r="B1483" s="4"/>
      <c r="C1483" s="4"/>
      <c r="D1483" s="5"/>
      <c r="E1483" s="4"/>
      <c r="F1483" s="4"/>
      <c r="G1483" s="6"/>
      <c r="H1483" s="6"/>
      <c r="I1483" s="6"/>
      <c r="J1483" s="6"/>
    </row>
    <row r="1484" spans="1:10" ht="13.5" thickBot="1">
      <c r="A1484" s="4"/>
      <c r="B1484" s="4"/>
      <c r="C1484" s="4"/>
      <c r="D1484" s="5"/>
      <c r="E1484" s="4"/>
      <c r="F1484" s="4"/>
      <c r="G1484" s="6"/>
      <c r="H1484" s="6"/>
      <c r="I1484" s="6"/>
      <c r="J1484" s="6"/>
    </row>
    <row r="1485" spans="1:10" ht="13.5" thickBot="1">
      <c r="A1485" s="4"/>
      <c r="B1485" s="4"/>
      <c r="C1485" s="4"/>
      <c r="D1485" s="5"/>
      <c r="E1485" s="4"/>
      <c r="F1485" s="4"/>
      <c r="G1485" s="6"/>
      <c r="H1485" s="6"/>
      <c r="I1485" s="6"/>
      <c r="J1485" s="6"/>
    </row>
    <row r="1486" spans="1:10" ht="13.5" thickBot="1">
      <c r="A1486" s="4"/>
      <c r="B1486" s="4"/>
      <c r="C1486" s="4"/>
      <c r="D1486" s="5"/>
      <c r="E1486" s="4"/>
      <c r="F1486" s="4"/>
      <c r="G1486" s="6"/>
      <c r="H1486" s="6"/>
      <c r="I1486" s="6"/>
      <c r="J1486" s="6"/>
    </row>
    <row r="1487" spans="1:10" ht="13.5" thickBot="1">
      <c r="A1487" s="4"/>
      <c r="B1487" s="4"/>
      <c r="C1487" s="4"/>
      <c r="D1487" s="5"/>
      <c r="E1487" s="4"/>
      <c r="F1487" s="4"/>
      <c r="G1487" s="6"/>
      <c r="H1487" s="6"/>
      <c r="I1487" s="6"/>
      <c r="J1487" s="6"/>
    </row>
    <row r="1488" spans="1:10" ht="13.5" thickBot="1">
      <c r="A1488" s="4"/>
      <c r="B1488" s="4"/>
      <c r="C1488" s="4"/>
      <c r="D1488" s="5"/>
      <c r="E1488" s="4"/>
      <c r="F1488" s="4"/>
      <c r="G1488" s="6"/>
      <c r="H1488" s="6"/>
      <c r="I1488" s="6"/>
      <c r="J1488" s="6"/>
    </row>
    <row r="1489" spans="1:10" ht="13.5" thickBot="1">
      <c r="A1489" s="4"/>
      <c r="B1489" s="4"/>
      <c r="C1489" s="4"/>
      <c r="D1489" s="5"/>
      <c r="E1489" s="4"/>
      <c r="F1489" s="4"/>
      <c r="G1489" s="6"/>
      <c r="H1489" s="6"/>
      <c r="I1489" s="6"/>
      <c r="J1489" s="6"/>
    </row>
    <row r="1490" spans="1:10" ht="13.5" thickBot="1">
      <c r="A1490" s="4"/>
      <c r="B1490" s="4"/>
      <c r="C1490" s="4"/>
      <c r="D1490" s="5"/>
      <c r="E1490" s="4"/>
      <c r="F1490" s="4"/>
      <c r="G1490" s="6"/>
      <c r="H1490" s="6"/>
      <c r="I1490" s="6"/>
      <c r="J1490" s="6"/>
    </row>
    <row r="1491" spans="1:10" ht="13.5" thickBot="1">
      <c r="A1491" s="4"/>
      <c r="B1491" s="4"/>
      <c r="C1491" s="4"/>
      <c r="D1491" s="5"/>
      <c r="E1491" s="4"/>
      <c r="F1491" s="4"/>
      <c r="G1491" s="6"/>
      <c r="H1491" s="6"/>
      <c r="I1491" s="6"/>
      <c r="J1491" s="6"/>
    </row>
    <row r="1492" spans="1:10" ht="13.5" thickBot="1">
      <c r="A1492" s="4"/>
      <c r="B1492" s="4"/>
      <c r="C1492" s="4"/>
      <c r="D1492" s="5"/>
      <c r="E1492" s="4"/>
      <c r="F1492" s="4"/>
      <c r="G1492" s="6"/>
      <c r="H1492" s="6"/>
      <c r="I1492" s="6"/>
      <c r="J1492" s="6"/>
    </row>
    <row r="1493" spans="1:10" ht="13.5" thickBot="1">
      <c r="A1493" s="4"/>
      <c r="B1493" s="4"/>
      <c r="C1493" s="4"/>
      <c r="D1493" s="5"/>
      <c r="E1493" s="4"/>
      <c r="F1493" s="4"/>
      <c r="G1493" s="6"/>
      <c r="H1493" s="6"/>
      <c r="I1493" s="6"/>
      <c r="J1493" s="6"/>
    </row>
    <row r="1494" spans="1:10" ht="13.5" thickBot="1">
      <c r="A1494" s="4"/>
      <c r="B1494" s="4"/>
      <c r="C1494" s="4"/>
      <c r="D1494" s="5"/>
      <c r="E1494" s="4"/>
      <c r="F1494" s="4"/>
      <c r="G1494" s="6"/>
      <c r="H1494" s="6"/>
      <c r="I1494" s="6"/>
      <c r="J1494" s="6"/>
    </row>
    <row r="1495" spans="1:10" ht="13.5" thickBot="1">
      <c r="A1495" s="4"/>
      <c r="B1495" s="4"/>
      <c r="C1495" s="4"/>
      <c r="D1495" s="5"/>
      <c r="E1495" s="4"/>
      <c r="F1495" s="4"/>
      <c r="G1495" s="6"/>
      <c r="H1495" s="6"/>
      <c r="I1495" s="6"/>
      <c r="J1495" s="6"/>
    </row>
    <row r="1496" spans="1:10" ht="13.5" thickBot="1">
      <c r="A1496" s="4"/>
      <c r="B1496" s="4"/>
      <c r="C1496" s="4"/>
      <c r="D1496" s="5"/>
      <c r="E1496" s="4"/>
      <c r="F1496" s="4"/>
      <c r="G1496" s="6"/>
      <c r="H1496" s="6"/>
      <c r="I1496" s="6"/>
      <c r="J1496" s="6"/>
    </row>
    <row r="1497" spans="1:10" ht="13.5" thickBot="1">
      <c r="A1497" s="4"/>
      <c r="B1497" s="4"/>
      <c r="C1497" s="4"/>
      <c r="D1497" s="5"/>
      <c r="E1497" s="4"/>
      <c r="F1497" s="4"/>
      <c r="G1497" s="6"/>
      <c r="H1497" s="6"/>
      <c r="I1497" s="6"/>
      <c r="J1497" s="6"/>
    </row>
    <row r="1498" spans="1:10" ht="13.5" thickBot="1">
      <c r="A1498" s="4"/>
      <c r="B1498" s="4"/>
      <c r="C1498" s="4"/>
      <c r="D1498" s="5"/>
      <c r="E1498" s="4"/>
      <c r="F1498" s="4"/>
      <c r="G1498" s="6"/>
      <c r="H1498" s="6"/>
      <c r="I1498" s="6"/>
      <c r="J1498" s="6"/>
    </row>
    <row r="1499" spans="1:10" ht="13.5" thickBot="1">
      <c r="A1499" s="4"/>
      <c r="B1499" s="4"/>
      <c r="C1499" s="4"/>
      <c r="D1499" s="5"/>
      <c r="E1499" s="4"/>
      <c r="F1499" s="4"/>
      <c r="G1499" s="6"/>
      <c r="H1499" s="6"/>
      <c r="I1499" s="6"/>
      <c r="J1499" s="6"/>
    </row>
    <row r="1500" spans="1:10" ht="13.5" thickBot="1">
      <c r="A1500" s="4"/>
      <c r="B1500" s="4"/>
      <c r="C1500" s="4"/>
      <c r="D1500" s="5"/>
      <c r="E1500" s="4"/>
      <c r="F1500" s="4"/>
      <c r="G1500" s="6"/>
      <c r="H1500" s="6"/>
      <c r="I1500" s="6"/>
      <c r="J1500" s="6"/>
    </row>
    <row r="1501" spans="1:10" ht="13.5" thickBot="1">
      <c r="A1501" s="4"/>
      <c r="B1501" s="4"/>
      <c r="C1501" s="4"/>
      <c r="D1501" s="5"/>
      <c r="E1501" s="4"/>
      <c r="F1501" s="4"/>
      <c r="G1501" s="6"/>
      <c r="H1501" s="6"/>
      <c r="I1501" s="6"/>
      <c r="J1501" s="6"/>
    </row>
    <row r="1502" spans="1:10" ht="13.5" thickBot="1">
      <c r="A1502" s="4"/>
      <c r="B1502" s="4"/>
      <c r="C1502" s="4"/>
      <c r="D1502" s="5"/>
      <c r="E1502" s="4"/>
      <c r="F1502" s="4"/>
      <c r="G1502" s="6"/>
      <c r="H1502" s="6"/>
      <c r="I1502" s="6"/>
      <c r="J1502" s="6"/>
    </row>
    <row r="1503" spans="1:10" ht="13.5" thickBot="1">
      <c r="A1503" s="4"/>
      <c r="B1503" s="4"/>
      <c r="C1503" s="4"/>
      <c r="D1503" s="5"/>
      <c r="E1503" s="4"/>
      <c r="F1503" s="4"/>
      <c r="G1503" s="6"/>
      <c r="H1503" s="6"/>
      <c r="I1503" s="6"/>
      <c r="J1503" s="6"/>
    </row>
    <row r="1504" spans="1:10" ht="13.5" thickBot="1">
      <c r="A1504" s="4"/>
      <c r="B1504" s="4"/>
      <c r="C1504" s="4"/>
      <c r="D1504" s="5"/>
      <c r="E1504" s="4"/>
      <c r="F1504" s="4"/>
      <c r="G1504" s="6"/>
      <c r="H1504" s="6"/>
      <c r="I1504" s="6"/>
      <c r="J1504" s="6"/>
    </row>
    <row r="1505" spans="1:10" ht="13.5" thickBot="1">
      <c r="A1505" s="4"/>
      <c r="B1505" s="4"/>
      <c r="C1505" s="4"/>
      <c r="D1505" s="5"/>
      <c r="E1505" s="4"/>
      <c r="F1505" s="4"/>
      <c r="G1505" s="6"/>
      <c r="H1505" s="6"/>
      <c r="I1505" s="6"/>
      <c r="J1505" s="6"/>
    </row>
    <row r="1506" spans="1:10" ht="13.5" thickBot="1">
      <c r="A1506" s="4"/>
      <c r="B1506" s="4"/>
      <c r="C1506" s="4"/>
      <c r="D1506" s="5"/>
      <c r="E1506" s="4"/>
      <c r="F1506" s="4"/>
      <c r="G1506" s="6"/>
      <c r="H1506" s="6"/>
      <c r="I1506" s="6"/>
      <c r="J1506" s="6"/>
    </row>
    <row r="1507" spans="1:10" ht="13.5" thickBot="1">
      <c r="A1507" s="4"/>
      <c r="B1507" s="4"/>
      <c r="C1507" s="4"/>
      <c r="D1507" s="5"/>
      <c r="E1507" s="4"/>
      <c r="F1507" s="4"/>
      <c r="G1507" s="6"/>
      <c r="H1507" s="6"/>
      <c r="I1507" s="6"/>
      <c r="J1507" s="6"/>
    </row>
    <row r="1508" spans="1:10" ht="13.5" thickBot="1">
      <c r="A1508" s="4"/>
      <c r="B1508" s="4"/>
      <c r="C1508" s="4"/>
      <c r="D1508" s="5"/>
      <c r="E1508" s="4"/>
      <c r="F1508" s="4"/>
      <c r="G1508" s="6"/>
      <c r="H1508" s="6"/>
      <c r="I1508" s="6"/>
      <c r="J1508" s="6"/>
    </row>
    <row r="1509" spans="1:10" ht="13.5" thickBot="1">
      <c r="A1509" s="4"/>
      <c r="B1509" s="4"/>
      <c r="C1509" s="4"/>
      <c r="D1509" s="5"/>
      <c r="E1509" s="4"/>
      <c r="F1509" s="4"/>
      <c r="G1509" s="6"/>
      <c r="H1509" s="6"/>
      <c r="I1509" s="6"/>
      <c r="J1509" s="6"/>
    </row>
    <row r="1510" spans="1:10" ht="13.5" thickBot="1">
      <c r="A1510" s="4"/>
      <c r="B1510" s="4"/>
      <c r="C1510" s="4"/>
      <c r="D1510" s="5"/>
      <c r="E1510" s="4"/>
      <c r="F1510" s="4"/>
      <c r="G1510" s="6"/>
      <c r="H1510" s="6"/>
      <c r="I1510" s="6"/>
      <c r="J1510" s="6"/>
    </row>
    <row r="1511" spans="1:10" ht="13.5" thickBot="1">
      <c r="A1511" s="4"/>
      <c r="B1511" s="4"/>
      <c r="C1511" s="4"/>
      <c r="D1511" s="5"/>
      <c r="E1511" s="4"/>
      <c r="F1511" s="4"/>
      <c r="G1511" s="6"/>
      <c r="H1511" s="6"/>
      <c r="I1511" s="6"/>
      <c r="J1511" s="6"/>
    </row>
    <row r="1512" spans="1:10" ht="13.5" thickBot="1">
      <c r="A1512" s="4"/>
      <c r="B1512" s="4"/>
      <c r="C1512" s="4"/>
      <c r="D1512" s="5"/>
      <c r="E1512" s="4"/>
      <c r="F1512" s="4"/>
      <c r="G1512" s="6"/>
      <c r="H1512" s="6"/>
      <c r="I1512" s="6"/>
      <c r="J1512" s="6"/>
    </row>
    <row r="1513" spans="1:10" ht="13.5" thickBot="1">
      <c r="A1513" s="4"/>
      <c r="B1513" s="4"/>
      <c r="C1513" s="4"/>
      <c r="D1513" s="5"/>
      <c r="E1513" s="4"/>
      <c r="F1513" s="4"/>
      <c r="G1513" s="6"/>
      <c r="H1513" s="6"/>
      <c r="I1513" s="6"/>
      <c r="J1513" s="6"/>
    </row>
    <row r="1514" spans="1:10" ht="13.5" thickBot="1">
      <c r="A1514" s="4"/>
      <c r="B1514" s="4"/>
      <c r="C1514" s="4"/>
      <c r="D1514" s="5"/>
      <c r="E1514" s="4"/>
      <c r="F1514" s="4"/>
      <c r="G1514" s="6"/>
      <c r="H1514" s="6"/>
      <c r="I1514" s="6"/>
      <c r="J1514" s="6"/>
    </row>
    <row r="1515" spans="1:10" ht="13.5" thickBot="1">
      <c r="A1515" s="4"/>
      <c r="B1515" s="4"/>
      <c r="C1515" s="4"/>
      <c r="D1515" s="5"/>
      <c r="E1515" s="4"/>
      <c r="F1515" s="4"/>
      <c r="G1515" s="6"/>
      <c r="H1515" s="6"/>
      <c r="I1515" s="6"/>
      <c r="J1515" s="6"/>
    </row>
    <row r="1516" spans="1:10" ht="13.5" thickBot="1">
      <c r="A1516" s="4"/>
      <c r="B1516" s="4"/>
      <c r="C1516" s="4"/>
      <c r="D1516" s="5"/>
      <c r="E1516" s="4"/>
      <c r="F1516" s="4"/>
      <c r="G1516" s="6"/>
      <c r="H1516" s="6"/>
      <c r="I1516" s="6"/>
      <c r="J1516" s="6"/>
    </row>
    <row r="1517" spans="1:10" ht="13.5" thickBot="1">
      <c r="A1517" s="4"/>
      <c r="B1517" s="4"/>
      <c r="C1517" s="4"/>
      <c r="D1517" s="5"/>
      <c r="E1517" s="4"/>
      <c r="F1517" s="4"/>
      <c r="G1517" s="6"/>
      <c r="H1517" s="6"/>
      <c r="I1517" s="6"/>
      <c r="J1517" s="6"/>
    </row>
    <row r="1518" spans="1:10" ht="13.5" thickBot="1">
      <c r="A1518" s="4"/>
      <c r="B1518" s="4"/>
      <c r="C1518" s="4"/>
      <c r="D1518" s="5"/>
      <c r="E1518" s="4"/>
      <c r="F1518" s="4"/>
      <c r="G1518" s="6"/>
      <c r="H1518" s="6"/>
      <c r="I1518" s="6"/>
      <c r="J1518" s="6"/>
    </row>
    <row r="1519" spans="1:10" ht="13.5" thickBot="1">
      <c r="A1519" s="4"/>
      <c r="B1519" s="4"/>
      <c r="C1519" s="4"/>
      <c r="D1519" s="5"/>
      <c r="E1519" s="4"/>
      <c r="F1519" s="4"/>
      <c r="G1519" s="6"/>
      <c r="H1519" s="6"/>
      <c r="I1519" s="6"/>
      <c r="J1519" s="6"/>
    </row>
    <row r="1520" spans="1:10" ht="13.5" thickBot="1">
      <c r="A1520" s="4"/>
      <c r="B1520" s="4"/>
      <c r="C1520" s="4"/>
      <c r="D1520" s="5"/>
      <c r="E1520" s="4"/>
      <c r="F1520" s="4"/>
      <c r="G1520" s="6"/>
      <c r="H1520" s="6"/>
      <c r="I1520" s="6"/>
      <c r="J1520" s="6"/>
    </row>
    <row r="1521" spans="1:10" ht="13.5" thickBot="1">
      <c r="A1521" s="4"/>
      <c r="B1521" s="4"/>
      <c r="C1521" s="4"/>
      <c r="D1521" s="5"/>
      <c r="E1521" s="4"/>
      <c r="F1521" s="4"/>
      <c r="G1521" s="6"/>
      <c r="H1521" s="6"/>
      <c r="I1521" s="6"/>
      <c r="J1521" s="6"/>
    </row>
    <row r="1522" spans="1:10" ht="13.5" thickBot="1">
      <c r="A1522" s="4"/>
      <c r="B1522" s="4"/>
      <c r="C1522" s="4"/>
      <c r="D1522" s="5"/>
      <c r="E1522" s="4"/>
      <c r="F1522" s="4"/>
      <c r="G1522" s="6"/>
      <c r="H1522" s="6"/>
      <c r="I1522" s="6"/>
      <c r="J1522" s="6"/>
    </row>
    <row r="1523" spans="1:10" ht="13.5" thickBot="1">
      <c r="A1523" s="4"/>
      <c r="B1523" s="4"/>
      <c r="C1523" s="4"/>
      <c r="D1523" s="5"/>
      <c r="E1523" s="4"/>
      <c r="F1523" s="4"/>
      <c r="G1523" s="6"/>
      <c r="H1523" s="6"/>
      <c r="I1523" s="6"/>
      <c r="J1523" s="6"/>
    </row>
    <row r="1524" spans="1:10" ht="13.5" thickBot="1">
      <c r="A1524" s="4"/>
      <c r="B1524" s="4"/>
      <c r="C1524" s="4"/>
      <c r="D1524" s="5"/>
      <c r="E1524" s="4"/>
      <c r="F1524" s="4"/>
      <c r="G1524" s="6"/>
      <c r="H1524" s="6"/>
      <c r="I1524" s="6"/>
      <c r="J1524" s="6"/>
    </row>
    <row r="1525" spans="1:10" ht="13.5" thickBot="1">
      <c r="A1525" s="4"/>
      <c r="B1525" s="4"/>
      <c r="C1525" s="4"/>
      <c r="D1525" s="5"/>
      <c r="E1525" s="4"/>
      <c r="F1525" s="4"/>
      <c r="G1525" s="6"/>
      <c r="H1525" s="6"/>
      <c r="I1525" s="6"/>
      <c r="J1525" s="6"/>
    </row>
    <row r="1526" spans="1:10" ht="13.5" thickBot="1">
      <c r="A1526" s="4"/>
      <c r="B1526" s="4"/>
      <c r="C1526" s="4"/>
      <c r="D1526" s="5"/>
      <c r="E1526" s="4"/>
      <c r="F1526" s="4"/>
      <c r="G1526" s="6"/>
      <c r="H1526" s="6"/>
      <c r="I1526" s="6"/>
      <c r="J1526" s="6"/>
    </row>
    <row r="1527" spans="1:10" ht="13.5" thickBot="1">
      <c r="A1527" s="4"/>
      <c r="B1527" s="4"/>
      <c r="C1527" s="4"/>
      <c r="D1527" s="5"/>
      <c r="E1527" s="4"/>
      <c r="F1527" s="4"/>
      <c r="G1527" s="6"/>
      <c r="H1527" s="6"/>
      <c r="I1527" s="6"/>
      <c r="J1527" s="6"/>
    </row>
    <row r="1528" spans="1:10" ht="13.5" thickBot="1">
      <c r="A1528" s="4"/>
      <c r="B1528" s="4"/>
      <c r="C1528" s="4"/>
      <c r="D1528" s="5"/>
      <c r="E1528" s="4"/>
      <c r="F1528" s="4"/>
      <c r="G1528" s="6"/>
      <c r="H1528" s="6"/>
      <c r="I1528" s="6"/>
      <c r="J1528" s="6"/>
    </row>
    <row r="1529" spans="1:10" ht="13.5" thickBot="1">
      <c r="A1529" s="4"/>
      <c r="B1529" s="4"/>
      <c r="C1529" s="4"/>
      <c r="D1529" s="5"/>
      <c r="E1529" s="4"/>
      <c r="F1529" s="4"/>
      <c r="G1529" s="6"/>
      <c r="H1529" s="6"/>
      <c r="I1529" s="6"/>
      <c r="J1529" s="6"/>
    </row>
    <row r="1530" spans="1:10" ht="13.5" thickBot="1">
      <c r="A1530" s="4"/>
      <c r="B1530" s="4"/>
      <c r="C1530" s="4"/>
      <c r="D1530" s="5"/>
      <c r="E1530" s="4"/>
      <c r="F1530" s="4"/>
      <c r="G1530" s="6"/>
      <c r="H1530" s="6"/>
      <c r="I1530" s="6"/>
      <c r="J1530" s="6"/>
    </row>
    <row r="1531" spans="1:10" ht="13.5" thickBot="1">
      <c r="A1531" s="4"/>
      <c r="B1531" s="4"/>
      <c r="C1531" s="4"/>
      <c r="D1531" s="5"/>
      <c r="E1531" s="4"/>
      <c r="F1531" s="4"/>
      <c r="G1531" s="6"/>
      <c r="H1531" s="6"/>
      <c r="I1531" s="6"/>
      <c r="J1531" s="6"/>
    </row>
    <row r="1532" spans="1:10" ht="13.5" thickBot="1">
      <c r="A1532" s="4"/>
      <c r="B1532" s="4"/>
      <c r="C1532" s="4"/>
      <c r="D1532" s="5"/>
      <c r="E1532" s="4"/>
      <c r="F1532" s="4"/>
      <c r="G1532" s="6"/>
      <c r="H1532" s="6"/>
      <c r="I1532" s="6"/>
      <c r="J1532" s="6"/>
    </row>
    <row r="1533" spans="1:10" ht="13.5" thickBot="1">
      <c r="A1533" s="4"/>
      <c r="B1533" s="4"/>
      <c r="C1533" s="4"/>
      <c r="D1533" s="5"/>
      <c r="E1533" s="4"/>
      <c r="F1533" s="4"/>
      <c r="G1533" s="6"/>
      <c r="H1533" s="6"/>
      <c r="I1533" s="6"/>
      <c r="J1533" s="6"/>
    </row>
    <row r="1534" spans="1:10" ht="13.5" thickBot="1">
      <c r="A1534" s="4"/>
      <c r="B1534" s="4"/>
      <c r="C1534" s="4"/>
      <c r="D1534" s="5"/>
      <c r="E1534" s="4"/>
      <c r="F1534" s="4"/>
      <c r="G1534" s="6"/>
      <c r="H1534" s="6"/>
      <c r="I1534" s="6"/>
      <c r="J1534" s="6"/>
    </row>
    <row r="1535" spans="1:10" ht="13.5" thickBot="1">
      <c r="A1535" s="4"/>
      <c r="B1535" s="4"/>
      <c r="C1535" s="4"/>
      <c r="D1535" s="5"/>
      <c r="E1535" s="4"/>
      <c r="F1535" s="4"/>
      <c r="G1535" s="6"/>
      <c r="H1535" s="6"/>
      <c r="I1535" s="6"/>
      <c r="J1535" s="6"/>
    </row>
    <row r="1536" spans="1:10" ht="13.5" thickBot="1">
      <c r="A1536" s="4"/>
      <c r="B1536" s="4"/>
      <c r="C1536" s="4"/>
      <c r="D1536" s="5"/>
      <c r="E1536" s="4"/>
      <c r="F1536" s="4"/>
      <c r="G1536" s="6"/>
      <c r="H1536" s="6"/>
      <c r="I1536" s="6"/>
      <c r="J1536" s="6"/>
    </row>
    <row r="1537" spans="1:10" ht="13.5" thickBot="1">
      <c r="A1537" s="4"/>
      <c r="B1537" s="4"/>
      <c r="C1537" s="4"/>
      <c r="D1537" s="5"/>
      <c r="E1537" s="4"/>
      <c r="F1537" s="4"/>
      <c r="G1537" s="6"/>
      <c r="H1537" s="6"/>
      <c r="I1537" s="6"/>
      <c r="J1537" s="6"/>
    </row>
    <row r="1538" spans="1:10" ht="13.5" thickBot="1">
      <c r="A1538" s="4"/>
      <c r="B1538" s="4"/>
      <c r="C1538" s="4"/>
      <c r="D1538" s="5"/>
      <c r="E1538" s="4"/>
      <c r="F1538" s="4"/>
      <c r="G1538" s="6"/>
      <c r="H1538" s="6"/>
      <c r="I1538" s="6"/>
      <c r="J1538" s="6"/>
    </row>
    <row r="1539" spans="1:10" ht="13.5" thickBot="1">
      <c r="A1539" s="4"/>
      <c r="B1539" s="4"/>
      <c r="C1539" s="4"/>
      <c r="D1539" s="5"/>
      <c r="E1539" s="4"/>
      <c r="F1539" s="4"/>
      <c r="G1539" s="6"/>
      <c r="H1539" s="6"/>
      <c r="I1539" s="6"/>
      <c r="J1539" s="6"/>
    </row>
    <row r="1540" spans="1:10" ht="13.5" thickBot="1">
      <c r="A1540" s="4"/>
      <c r="B1540" s="4"/>
      <c r="C1540" s="4"/>
      <c r="D1540" s="5"/>
      <c r="E1540" s="4"/>
      <c r="F1540" s="4"/>
      <c r="G1540" s="6"/>
      <c r="H1540" s="6"/>
      <c r="I1540" s="6"/>
      <c r="J1540" s="6"/>
    </row>
    <row r="1541" spans="1:10" ht="13.5" thickBot="1">
      <c r="A1541" s="4"/>
      <c r="B1541" s="4"/>
      <c r="C1541" s="4"/>
      <c r="D1541" s="5"/>
      <c r="E1541" s="4"/>
      <c r="F1541" s="4"/>
      <c r="G1541" s="6"/>
      <c r="H1541" s="6"/>
      <c r="I1541" s="6"/>
      <c r="J1541" s="6"/>
    </row>
    <row r="1542" spans="1:10" ht="13.5" thickBot="1">
      <c r="A1542" s="4"/>
      <c r="B1542" s="4"/>
      <c r="C1542" s="4"/>
      <c r="D1542" s="5"/>
      <c r="E1542" s="4"/>
      <c r="F1542" s="4"/>
      <c r="G1542" s="6"/>
      <c r="H1542" s="6"/>
      <c r="I1542" s="6"/>
      <c r="J1542" s="6"/>
    </row>
    <row r="1543" spans="1:10" ht="13.5" thickBot="1">
      <c r="A1543" s="4"/>
      <c r="B1543" s="4"/>
      <c r="C1543" s="4"/>
      <c r="D1543" s="5"/>
      <c r="E1543" s="4"/>
      <c r="F1543" s="4"/>
      <c r="G1543" s="6"/>
      <c r="H1543" s="6"/>
      <c r="I1543" s="6"/>
      <c r="J1543" s="6"/>
    </row>
    <row r="1544" spans="1:10" ht="13.5" thickBot="1">
      <c r="A1544" s="4"/>
      <c r="B1544" s="4"/>
      <c r="C1544" s="4"/>
      <c r="D1544" s="5"/>
      <c r="E1544" s="4"/>
      <c r="F1544" s="4"/>
      <c r="G1544" s="6"/>
      <c r="H1544" s="6"/>
      <c r="I1544" s="6"/>
      <c r="J1544" s="6"/>
    </row>
    <row r="1545" spans="1:10" ht="13.5" thickBot="1">
      <c r="A1545" s="4"/>
      <c r="B1545" s="4"/>
      <c r="C1545" s="4"/>
      <c r="D1545" s="5"/>
      <c r="E1545" s="4"/>
      <c r="F1545" s="4"/>
      <c r="G1545" s="6"/>
      <c r="H1545" s="6"/>
      <c r="I1545" s="6"/>
      <c r="J1545" s="6"/>
    </row>
    <row r="1546" spans="1:10" ht="13.5" thickBot="1">
      <c r="A1546" s="4"/>
      <c r="B1546" s="4"/>
      <c r="C1546" s="4"/>
      <c r="D1546" s="5"/>
      <c r="E1546" s="4"/>
      <c r="F1546" s="4"/>
      <c r="G1546" s="6"/>
      <c r="H1546" s="6"/>
      <c r="I1546" s="6"/>
      <c r="J1546" s="6"/>
    </row>
    <row r="1547" spans="1:10" ht="13.5" thickBot="1">
      <c r="A1547" s="4"/>
      <c r="B1547" s="4"/>
      <c r="C1547" s="4"/>
      <c r="D1547" s="5"/>
      <c r="E1547" s="4"/>
      <c r="F1547" s="4"/>
      <c r="G1547" s="6"/>
      <c r="H1547" s="6"/>
      <c r="I1547" s="6"/>
      <c r="J1547" s="6"/>
    </row>
    <row r="1548" spans="1:10" ht="13.5" thickBot="1">
      <c r="A1548" s="4"/>
      <c r="B1548" s="4"/>
      <c r="C1548" s="4"/>
      <c r="D1548" s="5"/>
      <c r="E1548" s="4"/>
      <c r="F1548" s="4"/>
      <c r="G1548" s="6"/>
      <c r="H1548" s="6"/>
      <c r="I1548" s="6"/>
      <c r="J1548" s="6"/>
    </row>
    <row r="1549" spans="1:10" ht="13.5" thickBot="1">
      <c r="A1549" s="4"/>
      <c r="B1549" s="4"/>
      <c r="C1549" s="4"/>
      <c r="D1549" s="5"/>
      <c r="E1549" s="4"/>
      <c r="F1549" s="4"/>
      <c r="G1549" s="6"/>
      <c r="H1549" s="6"/>
      <c r="I1549" s="6"/>
      <c r="J1549" s="6"/>
    </row>
    <row r="1550" spans="1:10" ht="13.5" thickBot="1">
      <c r="A1550" s="4"/>
      <c r="B1550" s="4"/>
      <c r="C1550" s="4"/>
      <c r="D1550" s="5"/>
      <c r="E1550" s="4"/>
      <c r="F1550" s="4"/>
      <c r="G1550" s="6"/>
      <c r="H1550" s="6"/>
      <c r="I1550" s="6"/>
      <c r="J1550" s="6"/>
    </row>
    <row r="1551" spans="1:10" ht="13.5" thickBot="1">
      <c r="A1551" s="4"/>
      <c r="B1551" s="4"/>
      <c r="C1551" s="4"/>
      <c r="D1551" s="5"/>
      <c r="E1551" s="4"/>
      <c r="F1551" s="4"/>
      <c r="G1551" s="6"/>
      <c r="H1551" s="6"/>
      <c r="I1551" s="6"/>
      <c r="J1551" s="6"/>
    </row>
    <row r="1552" spans="1:10" ht="13.5" thickBot="1">
      <c r="A1552" s="4"/>
      <c r="B1552" s="4"/>
      <c r="C1552" s="4"/>
      <c r="D1552" s="5"/>
      <c r="E1552" s="4"/>
      <c r="F1552" s="4"/>
      <c r="G1552" s="6"/>
      <c r="H1552" s="6"/>
      <c r="I1552" s="6"/>
      <c r="J1552" s="6"/>
    </row>
    <row r="1553" spans="1:10" ht="13.5" thickBot="1">
      <c r="A1553" s="4"/>
      <c r="B1553" s="4"/>
      <c r="C1553" s="4"/>
      <c r="D1553" s="5"/>
      <c r="E1553" s="4"/>
      <c r="F1553" s="4"/>
      <c r="G1553" s="6"/>
      <c r="H1553" s="6"/>
      <c r="I1553" s="6"/>
      <c r="J1553" s="6"/>
    </row>
    <row r="1554" spans="1:10" ht="13.5" thickBot="1">
      <c r="A1554" s="4"/>
      <c r="B1554" s="4"/>
      <c r="C1554" s="4"/>
      <c r="D1554" s="5"/>
      <c r="E1554" s="4"/>
      <c r="F1554" s="4"/>
      <c r="G1554" s="6"/>
      <c r="H1554" s="6"/>
      <c r="I1554" s="6"/>
      <c r="J1554" s="6"/>
    </row>
    <row r="1555" spans="1:10" ht="13.5" thickBot="1">
      <c r="A1555" s="4"/>
      <c r="B1555" s="4"/>
      <c r="C1555" s="4"/>
      <c r="D1555" s="5"/>
      <c r="E1555" s="4"/>
      <c r="F1555" s="4"/>
      <c r="G1555" s="6"/>
      <c r="H1555" s="6"/>
      <c r="I1555" s="6"/>
      <c r="J1555" s="6"/>
    </row>
    <row r="1556" spans="1:10" ht="13.5" thickBot="1">
      <c r="A1556" s="4"/>
      <c r="B1556" s="4"/>
      <c r="C1556" s="4"/>
      <c r="D1556" s="5"/>
      <c r="E1556" s="4"/>
      <c r="F1556" s="4"/>
      <c r="G1556" s="6"/>
      <c r="H1556" s="6"/>
      <c r="I1556" s="6"/>
      <c r="J1556" s="6"/>
    </row>
    <row r="1557" spans="1:10" ht="13.5" thickBot="1">
      <c r="A1557" s="4"/>
      <c r="B1557" s="4"/>
      <c r="C1557" s="4"/>
      <c r="D1557" s="5"/>
      <c r="E1557" s="4"/>
      <c r="F1557" s="4"/>
      <c r="G1557" s="6"/>
      <c r="H1557" s="6"/>
      <c r="I1557" s="6"/>
      <c r="J1557" s="6"/>
    </row>
    <row r="1558" spans="1:10" ht="13.5" thickBot="1">
      <c r="A1558" s="4"/>
      <c r="B1558" s="4"/>
      <c r="C1558" s="4"/>
      <c r="D1558" s="5"/>
      <c r="E1558" s="4"/>
      <c r="F1558" s="4"/>
      <c r="G1558" s="6"/>
      <c r="H1558" s="6"/>
      <c r="I1558" s="6"/>
      <c r="J1558" s="6"/>
    </row>
    <row r="1559" spans="1:10" ht="13.5" thickBot="1">
      <c r="A1559" s="4"/>
      <c r="B1559" s="4"/>
      <c r="C1559" s="4"/>
      <c r="D1559" s="5"/>
      <c r="E1559" s="4"/>
      <c r="F1559" s="4"/>
      <c r="G1559" s="6"/>
      <c r="H1559" s="6"/>
      <c r="I1559" s="6"/>
      <c r="J1559" s="6"/>
    </row>
    <row r="1560" spans="1:10" ht="13.5" thickBot="1">
      <c r="A1560" s="4"/>
      <c r="B1560" s="4"/>
      <c r="C1560" s="4"/>
      <c r="D1560" s="5"/>
      <c r="E1560" s="4"/>
      <c r="F1560" s="4"/>
      <c r="G1560" s="6"/>
      <c r="H1560" s="6"/>
      <c r="I1560" s="6"/>
      <c r="J1560" s="6"/>
    </row>
    <row r="1561" spans="1:10" ht="13.5" thickBot="1">
      <c r="A1561" s="4"/>
      <c r="B1561" s="4"/>
      <c r="C1561" s="4"/>
      <c r="D1561" s="5"/>
      <c r="E1561" s="4"/>
      <c r="F1561" s="4"/>
      <c r="G1561" s="6"/>
      <c r="H1561" s="6"/>
      <c r="I1561" s="6"/>
      <c r="J1561" s="6"/>
    </row>
    <row r="1562" spans="1:10" ht="13.5" thickBot="1">
      <c r="A1562" s="4"/>
      <c r="B1562" s="4"/>
      <c r="C1562" s="4"/>
      <c r="D1562" s="5"/>
      <c r="E1562" s="4"/>
      <c r="F1562" s="4"/>
      <c r="G1562" s="6"/>
      <c r="H1562" s="6"/>
      <c r="I1562" s="6"/>
      <c r="J1562" s="6"/>
    </row>
    <row r="1563" spans="1:10" ht="13.5" thickBot="1">
      <c r="A1563" s="4"/>
      <c r="B1563" s="4"/>
      <c r="C1563" s="4"/>
      <c r="D1563" s="5"/>
      <c r="E1563" s="4"/>
      <c r="F1563" s="4"/>
      <c r="G1563" s="6"/>
      <c r="H1563" s="6"/>
      <c r="I1563" s="6"/>
      <c r="J1563" s="6"/>
    </row>
    <row r="1564" spans="1:10" ht="13.5" thickBot="1">
      <c r="A1564" s="4"/>
      <c r="B1564" s="4"/>
      <c r="C1564" s="4"/>
      <c r="D1564" s="5"/>
      <c r="E1564" s="4"/>
      <c r="F1564" s="4"/>
      <c r="G1564" s="6"/>
      <c r="H1564" s="6"/>
      <c r="I1564" s="6"/>
      <c r="J1564" s="6"/>
    </row>
    <row r="1565" spans="1:10" ht="13.5" thickBot="1">
      <c r="A1565" s="4"/>
      <c r="B1565" s="4"/>
      <c r="C1565" s="4"/>
      <c r="D1565" s="5"/>
      <c r="E1565" s="4"/>
      <c r="F1565" s="4"/>
      <c r="G1565" s="6"/>
      <c r="H1565" s="6"/>
      <c r="I1565" s="6"/>
      <c r="J1565" s="6"/>
    </row>
    <row r="1566" spans="1:10" ht="13.5" thickBot="1">
      <c r="A1566" s="4"/>
      <c r="B1566" s="4"/>
      <c r="C1566" s="4"/>
      <c r="D1566" s="5"/>
      <c r="E1566" s="4"/>
      <c r="F1566" s="4"/>
      <c r="G1566" s="6"/>
      <c r="H1566" s="6"/>
      <c r="I1566" s="6"/>
      <c r="J1566" s="6"/>
    </row>
    <row r="1567" spans="1:10" ht="13.5" thickBot="1">
      <c r="A1567" s="4"/>
      <c r="B1567" s="4"/>
      <c r="C1567" s="4"/>
      <c r="D1567" s="5"/>
      <c r="E1567" s="4"/>
      <c r="F1567" s="4"/>
      <c r="G1567" s="6"/>
      <c r="H1567" s="6"/>
      <c r="I1567" s="6"/>
      <c r="J1567" s="6"/>
    </row>
    <row r="1568" spans="1:10" ht="13.5" thickBot="1">
      <c r="A1568" s="4"/>
      <c r="B1568" s="4"/>
      <c r="C1568" s="4"/>
      <c r="D1568" s="5"/>
      <c r="E1568" s="4"/>
      <c r="F1568" s="4"/>
      <c r="G1568" s="6"/>
      <c r="H1568" s="6"/>
      <c r="I1568" s="6"/>
      <c r="J1568" s="6"/>
    </row>
    <row r="1569" spans="1:10" ht="13.5" thickBot="1">
      <c r="A1569" s="4"/>
      <c r="B1569" s="4"/>
      <c r="C1569" s="4"/>
      <c r="D1569" s="5"/>
      <c r="E1569" s="4"/>
      <c r="F1569" s="4"/>
      <c r="G1569" s="6"/>
      <c r="H1569" s="6"/>
      <c r="I1569" s="6"/>
      <c r="J1569" s="6"/>
    </row>
    <row r="1570" spans="1:10" ht="13.5" thickBot="1">
      <c r="A1570" s="4"/>
      <c r="B1570" s="4"/>
      <c r="C1570" s="4"/>
      <c r="D1570" s="5"/>
      <c r="E1570" s="4"/>
      <c r="F1570" s="4"/>
      <c r="G1570" s="6"/>
      <c r="H1570" s="6"/>
      <c r="I1570" s="6"/>
      <c r="J1570" s="6"/>
    </row>
    <row r="1571" spans="1:10" ht="13.5" thickBot="1">
      <c r="A1571" s="4"/>
      <c r="B1571" s="4"/>
      <c r="C1571" s="4"/>
      <c r="D1571" s="5"/>
      <c r="E1571" s="4"/>
      <c r="F1571" s="4"/>
      <c r="G1571" s="6"/>
      <c r="H1571" s="6"/>
      <c r="I1571" s="6"/>
      <c r="J1571" s="6"/>
    </row>
    <row r="1572" spans="1:10" ht="13.5" thickBot="1">
      <c r="A1572" s="4"/>
      <c r="B1572" s="4"/>
      <c r="C1572" s="4"/>
      <c r="D1572" s="5"/>
      <c r="E1572" s="4"/>
      <c r="F1572" s="4"/>
      <c r="G1572" s="6"/>
      <c r="H1572" s="6"/>
      <c r="I1572" s="6"/>
      <c r="J1572" s="6"/>
    </row>
    <row r="1573" spans="1:10" ht="13.5" thickBot="1">
      <c r="A1573" s="4"/>
      <c r="B1573" s="4"/>
      <c r="C1573" s="4"/>
      <c r="D1573" s="5"/>
      <c r="E1573" s="4"/>
      <c r="F1573" s="4"/>
      <c r="G1573" s="6"/>
      <c r="H1573" s="6"/>
      <c r="I1573" s="6"/>
      <c r="J1573" s="6"/>
    </row>
    <row r="1574" spans="1:10" ht="13.5" thickBot="1">
      <c r="A1574" s="4"/>
      <c r="B1574" s="4"/>
      <c r="C1574" s="4"/>
      <c r="D1574" s="5"/>
      <c r="E1574" s="4"/>
      <c r="F1574" s="4"/>
      <c r="G1574" s="6"/>
      <c r="H1574" s="6"/>
      <c r="I1574" s="6"/>
      <c r="J1574" s="6"/>
    </row>
    <row r="1575" spans="1:10" ht="13.5" thickBot="1">
      <c r="A1575" s="4"/>
      <c r="B1575" s="4"/>
      <c r="C1575" s="4"/>
      <c r="D1575" s="5"/>
      <c r="E1575" s="4"/>
      <c r="F1575" s="4"/>
      <c r="G1575" s="6"/>
      <c r="H1575" s="6"/>
      <c r="I1575" s="6"/>
      <c r="J1575" s="6"/>
    </row>
    <row r="1576" spans="1:10" ht="13.5" thickBot="1">
      <c r="A1576" s="4"/>
      <c r="B1576" s="4"/>
      <c r="C1576" s="4"/>
      <c r="D1576" s="5"/>
      <c r="E1576" s="4"/>
      <c r="F1576" s="4"/>
      <c r="G1576" s="6"/>
      <c r="H1576" s="6"/>
      <c r="I1576" s="6"/>
      <c r="J1576" s="6"/>
    </row>
    <row r="1577" spans="1:10" ht="13.5" thickBot="1">
      <c r="A1577" s="4"/>
      <c r="B1577" s="4"/>
      <c r="C1577" s="4"/>
      <c r="D1577" s="5"/>
      <c r="E1577" s="4"/>
      <c r="F1577" s="4"/>
      <c r="G1577" s="6"/>
      <c r="H1577" s="6"/>
      <c r="I1577" s="6"/>
      <c r="J1577" s="6"/>
    </row>
    <row r="1578" spans="1:10" ht="13.5" thickBot="1">
      <c r="A1578" s="4"/>
      <c r="B1578" s="4"/>
      <c r="C1578" s="4"/>
      <c r="D1578" s="5"/>
      <c r="E1578" s="4"/>
      <c r="F1578" s="4"/>
      <c r="G1578" s="6"/>
      <c r="H1578" s="6"/>
      <c r="I1578" s="6"/>
      <c r="J1578" s="6"/>
    </row>
    <row r="1579" spans="1:10" ht="13.5" thickBot="1">
      <c r="A1579" s="4"/>
      <c r="B1579" s="4"/>
      <c r="C1579" s="4"/>
      <c r="D1579" s="5"/>
      <c r="E1579" s="4"/>
      <c r="F1579" s="4"/>
      <c r="G1579" s="6"/>
      <c r="H1579" s="6"/>
      <c r="I1579" s="6"/>
      <c r="J1579" s="6"/>
    </row>
    <row r="1580" spans="1:10" ht="13.5" thickBot="1">
      <c r="A1580" s="4"/>
      <c r="B1580" s="4"/>
      <c r="C1580" s="4"/>
      <c r="D1580" s="5"/>
      <c r="E1580" s="4"/>
      <c r="F1580" s="4"/>
      <c r="G1580" s="6"/>
      <c r="H1580" s="6"/>
      <c r="I1580" s="6"/>
      <c r="J1580" s="6"/>
    </row>
    <row r="1581" spans="1:10" ht="13.5" thickBot="1">
      <c r="A1581" s="4"/>
      <c r="B1581" s="4"/>
      <c r="C1581" s="4"/>
      <c r="D1581" s="5"/>
      <c r="E1581" s="4"/>
      <c r="F1581" s="4"/>
      <c r="G1581" s="6"/>
      <c r="H1581" s="6"/>
      <c r="I1581" s="6"/>
      <c r="J1581" s="6"/>
    </row>
    <row r="1582" spans="1:10" ht="13.5" thickBot="1">
      <c r="A1582" s="4"/>
      <c r="B1582" s="4"/>
      <c r="C1582" s="4"/>
      <c r="D1582" s="5"/>
      <c r="E1582" s="4"/>
      <c r="F1582" s="4"/>
      <c r="G1582" s="6"/>
      <c r="H1582" s="6"/>
      <c r="I1582" s="6"/>
      <c r="J1582" s="6"/>
    </row>
    <row r="1583" spans="1:10" ht="13.5" thickBot="1">
      <c r="A1583" s="4"/>
      <c r="B1583" s="4"/>
      <c r="C1583" s="4"/>
      <c r="D1583" s="5"/>
      <c r="E1583" s="4"/>
      <c r="F1583" s="4"/>
      <c r="G1583" s="6"/>
      <c r="H1583" s="6"/>
      <c r="I1583" s="6"/>
      <c r="J1583" s="6"/>
    </row>
    <row r="1584" spans="1:10" ht="13.5" thickBot="1">
      <c r="A1584" s="4"/>
      <c r="B1584" s="4"/>
      <c r="C1584" s="4"/>
      <c r="D1584" s="5"/>
      <c r="E1584" s="4"/>
      <c r="F1584" s="4"/>
      <c r="G1584" s="6"/>
      <c r="H1584" s="6"/>
      <c r="I1584" s="6"/>
      <c r="J1584" s="6"/>
    </row>
    <row r="1585" spans="1:10" ht="13.5" thickBot="1">
      <c r="A1585" s="4"/>
      <c r="B1585" s="4"/>
      <c r="C1585" s="4"/>
      <c r="D1585" s="5"/>
      <c r="E1585" s="4"/>
      <c r="F1585" s="4"/>
      <c r="G1585" s="6"/>
      <c r="H1585" s="6"/>
      <c r="I1585" s="6"/>
      <c r="J1585" s="6"/>
    </row>
    <row r="1586" spans="1:10" ht="13.5" thickBot="1">
      <c r="A1586" s="4"/>
      <c r="B1586" s="4"/>
      <c r="C1586" s="4"/>
      <c r="D1586" s="5"/>
      <c r="E1586" s="4"/>
      <c r="F1586" s="4"/>
      <c r="G1586" s="6"/>
      <c r="H1586" s="6"/>
      <c r="I1586" s="6"/>
      <c r="J1586" s="6"/>
    </row>
    <row r="1587" spans="1:10" ht="13.5" thickBot="1">
      <c r="A1587" s="4"/>
      <c r="B1587" s="4"/>
      <c r="C1587" s="4"/>
      <c r="D1587" s="5"/>
      <c r="E1587" s="4"/>
      <c r="F1587" s="4"/>
      <c r="G1587" s="6"/>
      <c r="H1587" s="6"/>
      <c r="I1587" s="6"/>
      <c r="J1587" s="6"/>
    </row>
    <row r="1588" spans="1:10" ht="13.5" thickBot="1">
      <c r="A1588" s="4"/>
      <c r="B1588" s="4"/>
      <c r="C1588" s="4"/>
      <c r="D1588" s="5"/>
      <c r="E1588" s="4"/>
      <c r="F1588" s="4"/>
      <c r="G1588" s="6"/>
      <c r="H1588" s="6"/>
      <c r="I1588" s="6"/>
      <c r="J1588" s="6"/>
    </row>
    <row r="1589" spans="1:10" ht="13.5" thickBot="1">
      <c r="A1589" s="4"/>
      <c r="B1589" s="4"/>
      <c r="C1589" s="4"/>
      <c r="D1589" s="5"/>
      <c r="E1589" s="4"/>
      <c r="F1589" s="4"/>
      <c r="G1589" s="6"/>
      <c r="H1589" s="6"/>
      <c r="I1589" s="6"/>
      <c r="J1589" s="6"/>
    </row>
    <row r="1590" spans="1:10" ht="13.5" thickBot="1">
      <c r="A1590" s="4"/>
      <c r="B1590" s="4"/>
      <c r="C1590" s="4"/>
      <c r="D1590" s="5"/>
      <c r="E1590" s="4"/>
      <c r="F1590" s="4"/>
      <c r="G1590" s="6"/>
      <c r="H1590" s="6"/>
      <c r="I1590" s="6"/>
      <c r="J1590" s="6"/>
    </row>
    <row r="1591" spans="1:10" ht="13.5" thickBot="1">
      <c r="A1591" s="4"/>
      <c r="B1591" s="4"/>
      <c r="C1591" s="4"/>
      <c r="D1591" s="5"/>
      <c r="E1591" s="4"/>
      <c r="F1591" s="4"/>
      <c r="G1591" s="6"/>
      <c r="H1591" s="6"/>
      <c r="I1591" s="6"/>
      <c r="J1591" s="6"/>
    </row>
    <row r="1592" spans="1:10" ht="13.5" thickBot="1">
      <c r="A1592" s="4"/>
      <c r="B1592" s="4"/>
      <c r="C1592" s="4"/>
      <c r="D1592" s="5"/>
      <c r="E1592" s="4"/>
      <c r="F1592" s="4"/>
      <c r="G1592" s="6"/>
      <c r="H1592" s="6"/>
      <c r="I1592" s="6"/>
      <c r="J1592" s="6"/>
    </row>
    <row r="1593" spans="1:10" ht="13.5" thickBot="1">
      <c r="A1593" s="4"/>
      <c r="B1593" s="4"/>
      <c r="C1593" s="4"/>
      <c r="D1593" s="5"/>
      <c r="E1593" s="4"/>
      <c r="F1593" s="4"/>
      <c r="G1593" s="6"/>
      <c r="H1593" s="6"/>
      <c r="I1593" s="6"/>
      <c r="J1593" s="6"/>
    </row>
    <row r="1594" spans="1:10" ht="13.5" thickBot="1">
      <c r="A1594" s="4"/>
      <c r="B1594" s="4"/>
      <c r="C1594" s="4"/>
      <c r="D1594" s="5"/>
      <c r="E1594" s="4"/>
      <c r="F1594" s="4"/>
      <c r="G1594" s="6"/>
      <c r="H1594" s="6"/>
      <c r="I1594" s="6"/>
      <c r="J1594" s="6"/>
    </row>
    <row r="1595" spans="1:10" ht="13.5" thickBot="1">
      <c r="A1595" s="4"/>
      <c r="B1595" s="4"/>
      <c r="C1595" s="4"/>
      <c r="D1595" s="5"/>
      <c r="E1595" s="4"/>
      <c r="F1595" s="4"/>
      <c r="G1595" s="6"/>
      <c r="H1595" s="6"/>
      <c r="I1595" s="6"/>
      <c r="J1595" s="6"/>
    </row>
    <row r="1596" spans="1:10" ht="13.5" thickBot="1">
      <c r="A1596" s="4"/>
      <c r="B1596" s="4"/>
      <c r="C1596" s="4"/>
      <c r="D1596" s="5"/>
      <c r="E1596" s="4"/>
      <c r="F1596" s="4"/>
      <c r="G1596" s="6"/>
      <c r="H1596" s="6"/>
      <c r="I1596" s="6"/>
      <c r="J1596" s="6"/>
    </row>
    <row r="1597" spans="1:10" ht="13.5" thickBot="1">
      <c r="A1597" s="4"/>
      <c r="B1597" s="4"/>
      <c r="C1597" s="4"/>
      <c r="D1597" s="5"/>
      <c r="E1597" s="4"/>
      <c r="F1597" s="4"/>
      <c r="G1597" s="6"/>
      <c r="H1597" s="6"/>
      <c r="I1597" s="6"/>
      <c r="J1597" s="6"/>
    </row>
    <row r="1598" spans="1:10" ht="13.5" thickBot="1">
      <c r="A1598" s="4"/>
      <c r="B1598" s="4"/>
      <c r="C1598" s="4"/>
      <c r="D1598" s="5"/>
      <c r="E1598" s="4"/>
      <c r="F1598" s="4"/>
      <c r="G1598" s="6"/>
      <c r="H1598" s="6"/>
      <c r="I1598" s="6"/>
      <c r="J1598" s="6"/>
    </row>
    <row r="1599" spans="1:10" ht="13.5" thickBot="1">
      <c r="A1599" s="4"/>
      <c r="B1599" s="4"/>
      <c r="C1599" s="4"/>
      <c r="D1599" s="5"/>
      <c r="E1599" s="4"/>
      <c r="F1599" s="4"/>
      <c r="G1599" s="6"/>
      <c r="H1599" s="6"/>
      <c r="I1599" s="6"/>
      <c r="J1599" s="6"/>
    </row>
    <row r="1600" spans="1:10" ht="13.5" thickBot="1">
      <c r="A1600" s="4"/>
      <c r="B1600" s="4"/>
      <c r="C1600" s="4"/>
      <c r="D1600" s="5"/>
      <c r="E1600" s="4"/>
      <c r="F1600" s="4"/>
      <c r="G1600" s="6"/>
      <c r="H1600" s="6"/>
      <c r="I1600" s="6"/>
      <c r="J1600" s="6"/>
    </row>
    <row r="1601" spans="1:10" ht="13.5" thickBot="1">
      <c r="A1601" s="4"/>
      <c r="B1601" s="4"/>
      <c r="C1601" s="4"/>
      <c r="D1601" s="5"/>
      <c r="E1601" s="4"/>
      <c r="F1601" s="4"/>
      <c r="G1601" s="6"/>
      <c r="H1601" s="6"/>
      <c r="I1601" s="6"/>
      <c r="J1601" s="6"/>
    </row>
    <row r="1602" spans="1:10" ht="13.5" thickBot="1">
      <c r="A1602" s="4"/>
      <c r="B1602" s="4"/>
      <c r="C1602" s="4"/>
      <c r="D1602" s="5"/>
      <c r="E1602" s="4"/>
      <c r="F1602" s="4"/>
      <c r="G1602" s="6"/>
      <c r="H1602" s="6"/>
      <c r="I1602" s="6"/>
      <c r="J1602" s="6"/>
    </row>
    <row r="1603" spans="1:10" ht="13.5" thickBot="1">
      <c r="A1603" s="4"/>
      <c r="B1603" s="4"/>
      <c r="C1603" s="4"/>
      <c r="D1603" s="5"/>
      <c r="E1603" s="4"/>
      <c r="F1603" s="4"/>
      <c r="G1603" s="6"/>
      <c r="H1603" s="6"/>
      <c r="I1603" s="6"/>
      <c r="J1603" s="6"/>
    </row>
    <row r="1604" spans="1:10" ht="13.5" thickBot="1">
      <c r="A1604" s="4"/>
      <c r="B1604" s="4"/>
      <c r="C1604" s="4"/>
      <c r="D1604" s="5"/>
      <c r="E1604" s="4"/>
      <c r="F1604" s="4"/>
      <c r="G1604" s="6"/>
      <c r="H1604" s="6"/>
      <c r="I1604" s="6"/>
      <c r="J1604" s="6"/>
    </row>
    <row r="1605" spans="1:10" ht="13.5" thickBot="1">
      <c r="A1605" s="4"/>
      <c r="B1605" s="4"/>
      <c r="C1605" s="4"/>
      <c r="D1605" s="5"/>
      <c r="E1605" s="4"/>
      <c r="F1605" s="4"/>
      <c r="G1605" s="6"/>
      <c r="H1605" s="6"/>
      <c r="I1605" s="6"/>
      <c r="J1605" s="6"/>
    </row>
    <row r="1606" spans="1:10" ht="13.5" thickBot="1">
      <c r="A1606" s="4"/>
      <c r="B1606" s="4"/>
      <c r="C1606" s="4"/>
      <c r="D1606" s="5"/>
      <c r="E1606" s="4"/>
      <c r="F1606" s="4"/>
      <c r="G1606" s="6"/>
      <c r="H1606" s="6"/>
      <c r="I1606" s="6"/>
      <c r="J1606" s="6"/>
    </row>
    <row r="1607" spans="1:10" ht="13.5" thickBot="1">
      <c r="A1607" s="4"/>
      <c r="B1607" s="4"/>
      <c r="C1607" s="4"/>
      <c r="D1607" s="5"/>
      <c r="E1607" s="4"/>
      <c r="F1607" s="4"/>
      <c r="G1607" s="6"/>
      <c r="H1607" s="6"/>
      <c r="I1607" s="6"/>
      <c r="J1607" s="6"/>
    </row>
    <row r="1608" spans="1:10" ht="13.5" thickBot="1">
      <c r="A1608" s="4"/>
      <c r="B1608" s="4"/>
      <c r="C1608" s="4"/>
      <c r="D1608" s="5"/>
      <c r="E1608" s="4"/>
      <c r="F1608" s="4"/>
      <c r="G1608" s="6"/>
      <c r="H1608" s="6"/>
      <c r="I1608" s="6"/>
      <c r="J1608" s="6"/>
    </row>
    <row r="1609" spans="1:10" ht="13.5" thickBot="1">
      <c r="A1609" s="4"/>
      <c r="B1609" s="4"/>
      <c r="C1609" s="4"/>
      <c r="D1609" s="5"/>
      <c r="E1609" s="4"/>
      <c r="F1609" s="4"/>
      <c r="G1609" s="6"/>
      <c r="H1609" s="6"/>
      <c r="I1609" s="6"/>
      <c r="J1609" s="6"/>
    </row>
    <row r="1610" spans="1:10" ht="13.5" thickBot="1">
      <c r="A1610" s="4"/>
      <c r="B1610" s="4"/>
      <c r="C1610" s="4"/>
      <c r="D1610" s="5"/>
      <c r="E1610" s="4"/>
      <c r="F1610" s="4"/>
      <c r="G1610" s="6"/>
      <c r="H1610" s="6"/>
      <c r="I1610" s="6"/>
      <c r="J1610" s="6"/>
    </row>
    <row r="1611" spans="1:10" ht="13.5" thickBot="1">
      <c r="A1611" s="4"/>
      <c r="B1611" s="4"/>
      <c r="C1611" s="4"/>
      <c r="D1611" s="5"/>
      <c r="E1611" s="4"/>
      <c r="F1611" s="4"/>
      <c r="G1611" s="6"/>
      <c r="H1611" s="6"/>
      <c r="I1611" s="6"/>
      <c r="J1611" s="6"/>
    </row>
    <row r="1612" spans="1:10" ht="13.5" thickBot="1">
      <c r="A1612" s="4"/>
      <c r="B1612" s="4"/>
      <c r="C1612" s="4"/>
      <c r="D1612" s="5"/>
      <c r="E1612" s="4"/>
      <c r="F1612" s="4"/>
      <c r="G1612" s="6"/>
      <c r="H1612" s="6"/>
      <c r="I1612" s="6"/>
      <c r="J1612" s="6"/>
    </row>
    <row r="1613" spans="1:10" ht="13.5" thickBot="1">
      <c r="A1613" s="4"/>
      <c r="B1613" s="4"/>
      <c r="C1613" s="4"/>
      <c r="D1613" s="5"/>
      <c r="E1613" s="4"/>
      <c r="F1613" s="4"/>
      <c r="G1613" s="6"/>
      <c r="H1613" s="6"/>
      <c r="I1613" s="6"/>
      <c r="J1613" s="6"/>
    </row>
    <row r="1614" spans="1:10" ht="13.5" thickBot="1">
      <c r="A1614" s="4"/>
      <c r="B1614" s="4"/>
      <c r="C1614" s="4"/>
      <c r="D1614" s="5"/>
      <c r="E1614" s="4"/>
      <c r="F1614" s="4"/>
      <c r="G1614" s="6"/>
      <c r="H1614" s="6"/>
      <c r="I1614" s="6"/>
      <c r="J1614" s="6"/>
    </row>
    <row r="1615" spans="1:10" ht="13.5" thickBot="1">
      <c r="A1615" s="4"/>
      <c r="B1615" s="4"/>
      <c r="C1615" s="4"/>
      <c r="D1615" s="5"/>
      <c r="E1615" s="4"/>
      <c r="F1615" s="4"/>
      <c r="G1615" s="6"/>
      <c r="H1615" s="6"/>
      <c r="I1615" s="6"/>
      <c r="J1615" s="6"/>
    </row>
    <row r="1616" spans="1:10" ht="13.5" thickBot="1">
      <c r="A1616" s="4"/>
      <c r="B1616" s="4"/>
      <c r="C1616" s="4"/>
      <c r="D1616" s="5"/>
      <c r="E1616" s="4"/>
      <c r="F1616" s="4"/>
      <c r="G1616" s="6"/>
      <c r="H1616" s="6"/>
      <c r="I1616" s="6"/>
      <c r="J1616" s="6"/>
    </row>
    <row r="1617" spans="1:10" ht="13.5" thickBot="1">
      <c r="A1617" s="4"/>
      <c r="B1617" s="4"/>
      <c r="C1617" s="4"/>
      <c r="D1617" s="5"/>
      <c r="E1617" s="4"/>
      <c r="F1617" s="4"/>
      <c r="G1617" s="6"/>
      <c r="H1617" s="6"/>
      <c r="I1617" s="6"/>
      <c r="J1617" s="6"/>
    </row>
    <row r="1618" spans="1:10" ht="13.5" thickBot="1">
      <c r="A1618" s="4"/>
      <c r="B1618" s="4"/>
      <c r="C1618" s="4"/>
      <c r="D1618" s="5"/>
      <c r="E1618" s="4"/>
      <c r="F1618" s="4"/>
      <c r="G1618" s="6"/>
      <c r="H1618" s="6"/>
      <c r="I1618" s="6"/>
      <c r="J1618" s="6"/>
    </row>
    <row r="1619" spans="1:10" ht="13.5" thickBot="1">
      <c r="A1619" s="4"/>
      <c r="B1619" s="4"/>
      <c r="C1619" s="4"/>
      <c r="D1619" s="5"/>
      <c r="E1619" s="4"/>
      <c r="F1619" s="4"/>
      <c r="G1619" s="6"/>
      <c r="H1619" s="6"/>
      <c r="I1619" s="6"/>
      <c r="J1619" s="6"/>
    </row>
    <row r="1620" spans="1:10" ht="13.5" thickBot="1">
      <c r="A1620" s="4"/>
      <c r="B1620" s="4"/>
      <c r="C1620" s="4"/>
      <c r="D1620" s="5"/>
      <c r="E1620" s="4"/>
      <c r="F1620" s="4"/>
      <c r="G1620" s="6"/>
      <c r="H1620" s="6"/>
      <c r="I1620" s="6"/>
      <c r="J1620" s="6"/>
    </row>
    <row r="1621" spans="1:10" ht="13.5" thickBot="1">
      <c r="A1621" s="4"/>
      <c r="B1621" s="4"/>
      <c r="C1621" s="4"/>
      <c r="D1621" s="5"/>
      <c r="E1621" s="4"/>
      <c r="F1621" s="4"/>
      <c r="G1621" s="6"/>
      <c r="H1621" s="6"/>
      <c r="I1621" s="6"/>
      <c r="J1621" s="6"/>
    </row>
    <row r="1622" spans="1:10" ht="13.5" thickBot="1">
      <c r="A1622" s="4"/>
      <c r="B1622" s="4"/>
      <c r="C1622" s="4"/>
      <c r="D1622" s="5"/>
      <c r="E1622" s="4"/>
      <c r="F1622" s="4"/>
      <c r="G1622" s="6"/>
      <c r="H1622" s="6"/>
      <c r="I1622" s="6"/>
      <c r="J1622" s="6"/>
    </row>
    <row r="1623" spans="1:10" ht="13.5" thickBot="1">
      <c r="A1623" s="4"/>
      <c r="B1623" s="4"/>
      <c r="C1623" s="4"/>
      <c r="D1623" s="5"/>
      <c r="E1623" s="4"/>
      <c r="F1623" s="4"/>
      <c r="G1623" s="6"/>
      <c r="H1623" s="6"/>
      <c r="I1623" s="6"/>
      <c r="J1623" s="6"/>
    </row>
    <row r="1624" spans="1:10" ht="13.5" thickBot="1">
      <c r="A1624" s="4"/>
      <c r="B1624" s="4"/>
      <c r="C1624" s="4"/>
      <c r="D1624" s="5"/>
      <c r="E1624" s="4"/>
      <c r="F1624" s="4"/>
      <c r="G1624" s="6"/>
      <c r="H1624" s="6"/>
      <c r="I1624" s="6"/>
      <c r="J1624" s="6"/>
    </row>
    <row r="1625" spans="1:10" ht="13.5" thickBot="1">
      <c r="A1625" s="4"/>
      <c r="B1625" s="4"/>
      <c r="C1625" s="4"/>
      <c r="D1625" s="5"/>
      <c r="E1625" s="4"/>
      <c r="F1625" s="4"/>
      <c r="G1625" s="6"/>
      <c r="H1625" s="6"/>
      <c r="I1625" s="6"/>
      <c r="J1625" s="6"/>
    </row>
    <row r="1626" spans="1:10" ht="13.5" thickBot="1">
      <c r="A1626" s="4"/>
      <c r="B1626" s="4"/>
      <c r="C1626" s="4"/>
      <c r="D1626" s="5"/>
      <c r="E1626" s="4"/>
      <c r="F1626" s="4"/>
      <c r="G1626" s="6"/>
      <c r="H1626" s="6"/>
      <c r="I1626" s="6"/>
      <c r="J1626" s="6"/>
    </row>
    <row r="1627" spans="1:10" ht="13.5" thickBot="1">
      <c r="A1627" s="4"/>
      <c r="B1627" s="4"/>
      <c r="C1627" s="4"/>
      <c r="D1627" s="5"/>
      <c r="E1627" s="4"/>
      <c r="F1627" s="4"/>
      <c r="G1627" s="6"/>
      <c r="H1627" s="6"/>
      <c r="I1627" s="6"/>
      <c r="J1627" s="6"/>
    </row>
    <row r="1628" spans="1:10" ht="13.5" thickBot="1">
      <c r="A1628" s="4"/>
      <c r="B1628" s="4"/>
      <c r="C1628" s="4"/>
      <c r="D1628" s="5"/>
      <c r="E1628" s="4"/>
      <c r="F1628" s="4"/>
      <c r="G1628" s="6"/>
      <c r="H1628" s="6"/>
      <c r="I1628" s="6"/>
      <c r="J1628" s="6"/>
    </row>
    <row r="1629" spans="1:10" ht="13.5" thickBot="1">
      <c r="A1629" s="4"/>
      <c r="B1629" s="4"/>
      <c r="C1629" s="4"/>
      <c r="D1629" s="5"/>
      <c r="E1629" s="4"/>
      <c r="F1629" s="4"/>
      <c r="G1629" s="6"/>
      <c r="H1629" s="6"/>
      <c r="I1629" s="6"/>
      <c r="J1629" s="6"/>
    </row>
    <row r="1630" spans="1:10" ht="13.5" thickBot="1">
      <c r="A1630" s="4"/>
      <c r="B1630" s="4"/>
      <c r="C1630" s="4"/>
      <c r="D1630" s="5"/>
      <c r="E1630" s="4"/>
      <c r="F1630" s="4"/>
      <c r="G1630" s="6"/>
      <c r="H1630" s="6"/>
      <c r="I1630" s="6"/>
      <c r="J1630" s="6"/>
    </row>
    <row r="1631" spans="1:10" ht="13.5" thickBot="1">
      <c r="A1631" s="4"/>
      <c r="B1631" s="4"/>
      <c r="C1631" s="4"/>
      <c r="D1631" s="5"/>
      <c r="E1631" s="4"/>
      <c r="F1631" s="4"/>
      <c r="G1631" s="6"/>
      <c r="H1631" s="6"/>
      <c r="I1631" s="6"/>
      <c r="J1631" s="6"/>
    </row>
    <row r="1632" spans="1:10" ht="13.5" thickBot="1">
      <c r="A1632" s="4"/>
      <c r="B1632" s="4"/>
      <c r="C1632" s="4"/>
      <c r="D1632" s="5"/>
      <c r="E1632" s="4"/>
      <c r="F1632" s="4"/>
      <c r="G1632" s="6"/>
      <c r="H1632" s="6"/>
      <c r="I1632" s="6"/>
      <c r="J1632" s="6"/>
    </row>
    <row r="1633" spans="1:10" ht="13.5" thickBot="1">
      <c r="A1633" s="4"/>
      <c r="B1633" s="4"/>
      <c r="C1633" s="4"/>
      <c r="D1633" s="5"/>
      <c r="E1633" s="4"/>
      <c r="F1633" s="4"/>
      <c r="G1633" s="6"/>
      <c r="H1633" s="6"/>
      <c r="I1633" s="6"/>
      <c r="J1633" s="6"/>
    </row>
    <row r="1634" spans="1:10" ht="13.5" thickBot="1">
      <c r="A1634" s="4"/>
      <c r="B1634" s="4"/>
      <c r="C1634" s="4"/>
      <c r="D1634" s="5"/>
      <c r="E1634" s="4"/>
      <c r="F1634" s="4"/>
      <c r="G1634" s="6"/>
      <c r="H1634" s="6"/>
      <c r="I1634" s="6"/>
      <c r="J1634" s="6"/>
    </row>
    <row r="1635" spans="1:10" ht="13.5" thickBot="1">
      <c r="A1635" s="4"/>
      <c r="B1635" s="4"/>
      <c r="C1635" s="4"/>
      <c r="D1635" s="5"/>
      <c r="E1635" s="4"/>
      <c r="F1635" s="4"/>
      <c r="G1635" s="6"/>
      <c r="H1635" s="6"/>
      <c r="I1635" s="6"/>
      <c r="J1635" s="6"/>
    </row>
    <row r="1636" spans="1:10" ht="13.5" thickBot="1">
      <c r="A1636" s="4"/>
      <c r="B1636" s="4"/>
      <c r="C1636" s="4"/>
      <c r="D1636" s="5"/>
      <c r="E1636" s="4"/>
      <c r="F1636" s="4"/>
      <c r="G1636" s="6"/>
      <c r="H1636" s="6"/>
      <c r="I1636" s="6"/>
      <c r="J1636" s="6"/>
    </row>
    <row r="1637" spans="1:10" ht="13.5" thickBot="1">
      <c r="A1637" s="4"/>
      <c r="B1637" s="4"/>
      <c r="C1637" s="4"/>
      <c r="D1637" s="5"/>
      <c r="E1637" s="4"/>
      <c r="F1637" s="4"/>
      <c r="G1637" s="6"/>
      <c r="H1637" s="6"/>
      <c r="I1637" s="6"/>
      <c r="J1637" s="6"/>
    </row>
    <row r="1638" spans="1:10" ht="13.5" thickBot="1">
      <c r="A1638" s="4"/>
      <c r="B1638" s="4"/>
      <c r="C1638" s="4"/>
      <c r="D1638" s="5"/>
      <c r="E1638" s="4"/>
      <c r="F1638" s="4"/>
      <c r="G1638" s="6"/>
      <c r="H1638" s="6"/>
      <c r="I1638" s="6"/>
      <c r="J1638" s="6"/>
    </row>
    <row r="1639" spans="1:10" ht="13.5" thickBot="1">
      <c r="A1639" s="4"/>
      <c r="B1639" s="4"/>
      <c r="C1639" s="4"/>
      <c r="D1639" s="5"/>
      <c r="E1639" s="4"/>
      <c r="F1639" s="4"/>
      <c r="G1639" s="6"/>
      <c r="H1639" s="6"/>
      <c r="I1639" s="6"/>
      <c r="J1639" s="6"/>
    </row>
    <row r="1640" spans="1:10" ht="13.5" thickBot="1">
      <c r="A1640" s="4"/>
      <c r="B1640" s="4"/>
      <c r="C1640" s="4"/>
      <c r="D1640" s="5"/>
      <c r="E1640" s="4"/>
      <c r="F1640" s="4"/>
      <c r="G1640" s="6"/>
      <c r="H1640" s="6"/>
      <c r="I1640" s="6"/>
      <c r="J1640" s="6"/>
    </row>
    <row r="1641" spans="1:10" ht="13.5" thickBot="1">
      <c r="A1641" s="4"/>
      <c r="B1641" s="4"/>
      <c r="C1641" s="4"/>
      <c r="D1641" s="5"/>
      <c r="E1641" s="4"/>
      <c r="F1641" s="4"/>
      <c r="G1641" s="6"/>
      <c r="H1641" s="6"/>
      <c r="I1641" s="6"/>
      <c r="J1641" s="6"/>
    </row>
    <row r="1642" spans="1:10" ht="13.5" thickBot="1">
      <c r="A1642" s="4"/>
      <c r="B1642" s="4"/>
      <c r="C1642" s="4"/>
      <c r="D1642" s="5"/>
      <c r="E1642" s="4"/>
      <c r="F1642" s="4"/>
      <c r="G1642" s="6"/>
      <c r="H1642" s="6"/>
      <c r="I1642" s="6"/>
      <c r="J1642" s="6"/>
    </row>
    <row r="1643" spans="1:10" ht="13.5" thickBot="1">
      <c r="A1643" s="4"/>
      <c r="B1643" s="4"/>
      <c r="C1643" s="4"/>
      <c r="D1643" s="5"/>
      <c r="E1643" s="4"/>
      <c r="F1643" s="4"/>
      <c r="G1643" s="6"/>
      <c r="H1643" s="6"/>
      <c r="I1643" s="6"/>
      <c r="J1643" s="6"/>
    </row>
    <row r="1644" spans="1:10" ht="13.5" thickBot="1">
      <c r="A1644" s="4"/>
      <c r="B1644" s="4"/>
      <c r="C1644" s="4"/>
      <c r="D1644" s="5"/>
      <c r="E1644" s="4"/>
      <c r="F1644" s="4"/>
      <c r="G1644" s="6"/>
      <c r="H1644" s="6"/>
      <c r="I1644" s="6"/>
      <c r="J1644" s="6"/>
    </row>
    <row r="1645" spans="1:10" ht="13.5" thickBot="1">
      <c r="A1645" s="4"/>
      <c r="B1645" s="4"/>
      <c r="C1645" s="4"/>
      <c r="D1645" s="5"/>
      <c r="E1645" s="4"/>
      <c r="F1645" s="4"/>
      <c r="G1645" s="6"/>
      <c r="H1645" s="6"/>
      <c r="I1645" s="6"/>
      <c r="J1645" s="6"/>
    </row>
    <row r="1646" spans="1:10" ht="13.5" thickBot="1">
      <c r="A1646" s="4"/>
      <c r="B1646" s="4"/>
      <c r="C1646" s="4"/>
      <c r="D1646" s="5"/>
      <c r="E1646" s="4"/>
      <c r="F1646" s="4"/>
      <c r="G1646" s="6"/>
      <c r="H1646" s="6"/>
      <c r="I1646" s="6"/>
      <c r="J1646" s="6"/>
    </row>
    <row r="1647" spans="1:10" ht="13.5" thickBot="1">
      <c r="A1647" s="4"/>
      <c r="B1647" s="4"/>
      <c r="C1647" s="4"/>
      <c r="D1647" s="5"/>
      <c r="E1647" s="4"/>
      <c r="F1647" s="4"/>
      <c r="G1647" s="6"/>
      <c r="H1647" s="6"/>
      <c r="I1647" s="6"/>
      <c r="J1647" s="6"/>
    </row>
    <row r="1648" spans="1:10" ht="13.5" thickBot="1">
      <c r="A1648" s="4"/>
      <c r="B1648" s="4"/>
      <c r="C1648" s="4"/>
      <c r="D1648" s="5"/>
      <c r="E1648" s="4"/>
      <c r="F1648" s="4"/>
      <c r="G1648" s="6"/>
      <c r="H1648" s="6"/>
      <c r="I1648" s="6"/>
      <c r="J1648" s="6"/>
    </row>
    <row r="1649" spans="1:10" ht="13.5" thickBot="1">
      <c r="A1649" s="4"/>
      <c r="B1649" s="4"/>
      <c r="C1649" s="4"/>
      <c r="D1649" s="5"/>
      <c r="E1649" s="4"/>
      <c r="F1649" s="4"/>
      <c r="G1649" s="6"/>
      <c r="H1649" s="6"/>
      <c r="I1649" s="6"/>
      <c r="J1649" s="6"/>
    </row>
    <row r="1650" spans="1:10" ht="13.5" thickBot="1">
      <c r="A1650" s="4"/>
      <c r="B1650" s="4"/>
      <c r="C1650" s="4"/>
      <c r="D1650" s="5"/>
      <c r="E1650" s="4"/>
      <c r="F1650" s="4"/>
      <c r="G1650" s="6"/>
      <c r="H1650" s="6"/>
      <c r="I1650" s="6"/>
      <c r="J1650" s="6"/>
    </row>
    <row r="1651" spans="1:10" ht="13.5" thickBot="1">
      <c r="A1651" s="4"/>
      <c r="B1651" s="4"/>
      <c r="C1651" s="4"/>
      <c r="D1651" s="5"/>
      <c r="E1651" s="4"/>
      <c r="F1651" s="4"/>
      <c r="G1651" s="6"/>
      <c r="H1651" s="6"/>
      <c r="I1651" s="6"/>
      <c r="J1651" s="6"/>
    </row>
    <row r="1652" spans="1:10" ht="13.5" thickBot="1">
      <c r="A1652" s="4"/>
      <c r="B1652" s="4"/>
      <c r="C1652" s="4"/>
      <c r="D1652" s="5"/>
      <c r="E1652" s="4"/>
      <c r="F1652" s="4"/>
      <c r="G1652" s="6"/>
      <c r="H1652" s="6"/>
      <c r="I1652" s="6"/>
      <c r="J1652" s="6"/>
    </row>
    <row r="1653" spans="1:10" ht="13.5" thickBot="1">
      <c r="A1653" s="4"/>
      <c r="B1653" s="4"/>
      <c r="C1653" s="4"/>
      <c r="D1653" s="5"/>
      <c r="E1653" s="4"/>
      <c r="F1653" s="4"/>
      <c r="G1653" s="6"/>
      <c r="H1653" s="6"/>
      <c r="I1653" s="6"/>
      <c r="J1653" s="6"/>
    </row>
    <row r="1654" spans="1:10" ht="13.5" thickBot="1">
      <c r="A1654" s="4"/>
      <c r="B1654" s="4"/>
      <c r="C1654" s="4"/>
      <c r="D1654" s="5"/>
      <c r="E1654" s="4"/>
      <c r="F1654" s="4"/>
      <c r="G1654" s="6"/>
      <c r="H1654" s="6"/>
      <c r="I1654" s="6"/>
      <c r="J1654" s="6"/>
    </row>
    <row r="1655" spans="1:10" ht="13.5" thickBot="1">
      <c r="A1655" s="4"/>
      <c r="B1655" s="4"/>
      <c r="C1655" s="4"/>
      <c r="D1655" s="5"/>
      <c r="E1655" s="4"/>
      <c r="F1655" s="4"/>
      <c r="G1655" s="6"/>
      <c r="H1655" s="6"/>
      <c r="I1655" s="6"/>
      <c r="J1655" s="6"/>
    </row>
    <row r="1656" spans="1:10" ht="13.5" thickBot="1">
      <c r="A1656" s="4"/>
      <c r="B1656" s="4"/>
      <c r="C1656" s="4"/>
      <c r="D1656" s="5"/>
      <c r="E1656" s="4"/>
      <c r="F1656" s="4"/>
      <c r="G1656" s="6"/>
      <c r="H1656" s="6"/>
      <c r="I1656" s="6"/>
      <c r="J1656" s="6"/>
    </row>
    <row r="1657" spans="1:10" ht="13.5" thickBot="1">
      <c r="A1657" s="4"/>
      <c r="B1657" s="4"/>
      <c r="C1657" s="4"/>
      <c r="D1657" s="5"/>
      <c r="E1657" s="4"/>
      <c r="F1657" s="4"/>
      <c r="G1657" s="6"/>
      <c r="H1657" s="6"/>
      <c r="I1657" s="6"/>
      <c r="J1657" s="6"/>
    </row>
    <row r="1658" spans="1:10" ht="13.5" thickBot="1">
      <c r="A1658" s="4"/>
      <c r="B1658" s="4"/>
      <c r="C1658" s="4"/>
      <c r="D1658" s="5"/>
      <c r="E1658" s="4"/>
      <c r="F1658" s="4"/>
      <c r="G1658" s="6"/>
      <c r="H1658" s="6"/>
      <c r="I1658" s="6"/>
      <c r="J1658" s="6"/>
    </row>
    <row r="1659" spans="1:10" ht="13.5" thickBot="1">
      <c r="A1659" s="4"/>
      <c r="B1659" s="4"/>
      <c r="C1659" s="4"/>
      <c r="D1659" s="5"/>
      <c r="E1659" s="4"/>
      <c r="F1659" s="4"/>
      <c r="G1659" s="6"/>
      <c r="H1659" s="6"/>
      <c r="I1659" s="6"/>
      <c r="J1659" s="6"/>
    </row>
    <row r="1660" spans="1:10" ht="13.5" thickBot="1">
      <c r="A1660" s="4"/>
      <c r="B1660" s="4"/>
      <c r="C1660" s="4"/>
      <c r="D1660" s="5"/>
      <c r="E1660" s="4"/>
      <c r="F1660" s="4"/>
      <c r="G1660" s="6"/>
      <c r="H1660" s="6"/>
      <c r="I1660" s="6"/>
      <c r="J1660" s="6"/>
    </row>
    <row r="1661" spans="1:10" ht="13.5" thickBot="1">
      <c r="A1661" s="4"/>
      <c r="B1661" s="4"/>
      <c r="C1661" s="4"/>
      <c r="D1661" s="5"/>
      <c r="E1661" s="4"/>
      <c r="F1661" s="4"/>
      <c r="G1661" s="6"/>
      <c r="H1661" s="6"/>
      <c r="I1661" s="6"/>
      <c r="J1661" s="6"/>
    </row>
    <row r="1662" spans="1:10" ht="13.5" thickBot="1">
      <c r="A1662" s="4"/>
      <c r="B1662" s="4"/>
      <c r="C1662" s="4"/>
      <c r="D1662" s="5"/>
      <c r="E1662" s="4"/>
      <c r="F1662" s="4"/>
      <c r="G1662" s="6"/>
      <c r="H1662" s="6"/>
      <c r="I1662" s="6"/>
      <c r="J1662" s="6"/>
    </row>
    <row r="1663" spans="1:10" ht="13.5" thickBot="1">
      <c r="A1663" s="4"/>
      <c r="B1663" s="4"/>
      <c r="C1663" s="4"/>
      <c r="D1663" s="5"/>
      <c r="E1663" s="4"/>
      <c r="F1663" s="4"/>
      <c r="G1663" s="6"/>
      <c r="H1663" s="6"/>
      <c r="I1663" s="6"/>
      <c r="J1663" s="6"/>
    </row>
    <row r="1664" spans="1:10" ht="13.5" thickBot="1">
      <c r="A1664" s="4"/>
      <c r="B1664" s="4"/>
      <c r="C1664" s="4"/>
      <c r="D1664" s="5"/>
      <c r="E1664" s="4"/>
      <c r="F1664" s="4"/>
      <c r="G1664" s="6"/>
      <c r="H1664" s="6"/>
      <c r="I1664" s="6"/>
      <c r="J1664" s="6"/>
    </row>
    <row r="1665" spans="1:10" ht="13.5" thickBot="1">
      <c r="A1665" s="4"/>
      <c r="B1665" s="4"/>
      <c r="C1665" s="4"/>
      <c r="D1665" s="5"/>
      <c r="E1665" s="4"/>
      <c r="F1665" s="4"/>
      <c r="G1665" s="6"/>
      <c r="H1665" s="6"/>
      <c r="I1665" s="6"/>
      <c r="J1665" s="6"/>
    </row>
    <row r="1666" spans="1:10" ht="13.5" thickBot="1">
      <c r="A1666" s="4"/>
      <c r="B1666" s="4"/>
      <c r="C1666" s="4"/>
      <c r="D1666" s="5"/>
      <c r="E1666" s="4"/>
      <c r="F1666" s="4"/>
      <c r="G1666" s="6"/>
      <c r="H1666" s="6"/>
      <c r="I1666" s="6"/>
      <c r="J1666" s="6"/>
    </row>
    <row r="1667" spans="1:10" ht="13.5" thickBot="1">
      <c r="A1667" s="4"/>
      <c r="B1667" s="4"/>
      <c r="C1667" s="4"/>
      <c r="D1667" s="5"/>
      <c r="E1667" s="4"/>
      <c r="F1667" s="4"/>
      <c r="G1667" s="6"/>
      <c r="H1667" s="6"/>
      <c r="I1667" s="6"/>
      <c r="J1667" s="6"/>
    </row>
    <row r="1668" spans="1:10" ht="13.5" thickBot="1">
      <c r="A1668" s="4"/>
      <c r="B1668" s="4"/>
      <c r="C1668" s="4"/>
      <c r="D1668" s="5"/>
      <c r="E1668" s="4"/>
      <c r="F1668" s="4"/>
      <c r="G1668" s="6"/>
      <c r="H1668" s="6"/>
      <c r="I1668" s="6"/>
      <c r="J1668" s="6"/>
    </row>
    <row r="1669" spans="1:10" ht="13.5" thickBot="1">
      <c r="A1669" s="4"/>
      <c r="B1669" s="4"/>
      <c r="C1669" s="4"/>
      <c r="D1669" s="5"/>
      <c r="E1669" s="4"/>
      <c r="F1669" s="4"/>
      <c r="G1669" s="6"/>
      <c r="H1669" s="6"/>
      <c r="I1669" s="6"/>
      <c r="J1669" s="6"/>
    </row>
    <row r="1670" spans="1:10" ht="13.5" thickBot="1">
      <c r="A1670" s="4"/>
      <c r="B1670" s="4"/>
      <c r="C1670" s="4"/>
      <c r="D1670" s="5"/>
      <c r="E1670" s="4"/>
      <c r="F1670" s="4"/>
      <c r="G1670" s="6"/>
      <c r="H1670" s="6"/>
      <c r="I1670" s="6"/>
      <c r="J1670" s="6"/>
    </row>
    <row r="1671" spans="1:10" ht="13.5" thickBot="1">
      <c r="A1671" s="4"/>
      <c r="B1671" s="4"/>
      <c r="C1671" s="4"/>
      <c r="D1671" s="5"/>
      <c r="E1671" s="4"/>
      <c r="F1671" s="4"/>
      <c r="G1671" s="6"/>
      <c r="H1671" s="6"/>
      <c r="I1671" s="6"/>
      <c r="J1671" s="6"/>
    </row>
    <row r="1672" spans="1:10" ht="13.5" thickBot="1">
      <c r="A1672" s="4"/>
      <c r="B1672" s="4"/>
      <c r="C1672" s="4"/>
      <c r="D1672" s="5"/>
      <c r="E1672" s="4"/>
      <c r="F1672" s="4"/>
      <c r="G1672" s="6"/>
      <c r="H1672" s="6"/>
      <c r="I1672" s="6"/>
      <c r="J1672" s="6"/>
    </row>
    <row r="1673" spans="1:10" ht="13.5" thickBot="1">
      <c r="A1673" s="4"/>
      <c r="B1673" s="4"/>
      <c r="C1673" s="4"/>
      <c r="D1673" s="5"/>
      <c r="E1673" s="4"/>
      <c r="F1673" s="4"/>
      <c r="G1673" s="6"/>
      <c r="H1673" s="6"/>
      <c r="I1673" s="6"/>
      <c r="J1673" s="6"/>
    </row>
    <row r="1674" spans="1:10" ht="13.5" thickBot="1">
      <c r="A1674" s="4"/>
      <c r="B1674" s="4"/>
      <c r="C1674" s="4"/>
      <c r="D1674" s="5"/>
      <c r="E1674" s="4"/>
      <c r="F1674" s="4"/>
      <c r="G1674" s="6"/>
      <c r="H1674" s="6"/>
      <c r="I1674" s="6"/>
      <c r="J1674" s="6"/>
    </row>
    <row r="1675" spans="1:10" ht="13.5" thickBot="1">
      <c r="A1675" s="4"/>
      <c r="B1675" s="4"/>
      <c r="C1675" s="4"/>
      <c r="D1675" s="5"/>
      <c r="E1675" s="4"/>
      <c r="F1675" s="4"/>
      <c r="G1675" s="6"/>
      <c r="H1675" s="6"/>
      <c r="I1675" s="6"/>
      <c r="J1675" s="6"/>
    </row>
    <row r="1676" spans="1:10" ht="13.5" thickBot="1">
      <c r="A1676" s="4"/>
      <c r="B1676" s="4"/>
      <c r="C1676" s="4"/>
      <c r="D1676" s="5"/>
      <c r="E1676" s="4"/>
      <c r="F1676" s="4"/>
      <c r="G1676" s="6"/>
      <c r="H1676" s="6"/>
      <c r="I1676" s="6"/>
      <c r="J1676" s="6"/>
    </row>
    <row r="1677" spans="1:10" ht="13.5" thickBot="1">
      <c r="A1677" s="4"/>
      <c r="B1677" s="4"/>
      <c r="C1677" s="4"/>
      <c r="D1677" s="5"/>
      <c r="E1677" s="4"/>
      <c r="F1677" s="4"/>
      <c r="G1677" s="6"/>
      <c r="H1677" s="6"/>
      <c r="I1677" s="6"/>
      <c r="J1677" s="6"/>
    </row>
    <row r="1678" spans="1:10" ht="13.5" thickBot="1">
      <c r="A1678" s="4"/>
      <c r="B1678" s="4"/>
      <c r="C1678" s="4"/>
      <c r="D1678" s="5"/>
      <c r="E1678" s="4"/>
      <c r="F1678" s="4"/>
      <c r="G1678" s="6"/>
      <c r="H1678" s="6"/>
      <c r="I1678" s="6"/>
      <c r="J1678" s="6"/>
    </row>
    <row r="1679" spans="1:10" ht="13.5" thickBot="1">
      <c r="A1679" s="4"/>
      <c r="B1679" s="4"/>
      <c r="C1679" s="4"/>
      <c r="D1679" s="5"/>
      <c r="E1679" s="4"/>
      <c r="F1679" s="4"/>
      <c r="G1679" s="6"/>
      <c r="H1679" s="6"/>
      <c r="I1679" s="6"/>
      <c r="J1679" s="6"/>
    </row>
    <row r="1680" spans="1:10" ht="13.5" thickBot="1">
      <c r="A1680" s="4"/>
      <c r="B1680" s="4"/>
      <c r="C1680" s="4"/>
      <c r="D1680" s="5"/>
      <c r="E1680" s="4"/>
      <c r="F1680" s="4"/>
      <c r="G1680" s="6"/>
      <c r="H1680" s="6"/>
      <c r="I1680" s="6"/>
      <c r="J1680" s="6"/>
    </row>
    <row r="1681" spans="1:10" ht="13.5" thickBot="1">
      <c r="A1681" s="4"/>
      <c r="B1681" s="4"/>
      <c r="C1681" s="4"/>
      <c r="D1681" s="5"/>
      <c r="E1681" s="4"/>
      <c r="F1681" s="4"/>
      <c r="G1681" s="6"/>
      <c r="H1681" s="6"/>
      <c r="I1681" s="6"/>
      <c r="J1681" s="6"/>
    </row>
    <row r="1682" spans="1:10" ht="13.5" thickBot="1">
      <c r="A1682" s="4"/>
      <c r="B1682" s="4"/>
      <c r="C1682" s="4"/>
      <c r="D1682" s="5"/>
      <c r="E1682" s="4"/>
      <c r="F1682" s="4"/>
      <c r="G1682" s="6"/>
      <c r="H1682" s="6"/>
      <c r="I1682" s="6"/>
      <c r="J1682" s="6"/>
    </row>
    <row r="1683" spans="1:10" ht="13.5" thickBot="1">
      <c r="A1683" s="4"/>
      <c r="B1683" s="4"/>
      <c r="C1683" s="4"/>
      <c r="D1683" s="5"/>
      <c r="E1683" s="4"/>
      <c r="F1683" s="4"/>
      <c r="G1683" s="6"/>
      <c r="H1683" s="6"/>
      <c r="I1683" s="6"/>
      <c r="J1683" s="6"/>
    </row>
    <row r="1684" spans="1:10" ht="13.5" thickBot="1">
      <c r="A1684" s="4"/>
      <c r="B1684" s="4"/>
      <c r="C1684" s="4"/>
      <c r="D1684" s="5"/>
      <c r="E1684" s="4"/>
      <c r="F1684" s="4"/>
      <c r="G1684" s="6"/>
      <c r="H1684" s="6"/>
      <c r="I1684" s="6"/>
      <c r="J1684" s="6"/>
    </row>
    <row r="1685" spans="1:10" ht="13.5" thickBot="1">
      <c r="A1685" s="4"/>
      <c r="B1685" s="4"/>
      <c r="C1685" s="4"/>
      <c r="D1685" s="5"/>
      <c r="E1685" s="4"/>
      <c r="F1685" s="4"/>
      <c r="G1685" s="6"/>
      <c r="H1685" s="6"/>
      <c r="I1685" s="6"/>
      <c r="J1685" s="6"/>
    </row>
    <row r="1686" spans="1:10" ht="13.5" thickBot="1">
      <c r="A1686" s="4"/>
      <c r="B1686" s="4"/>
      <c r="C1686" s="4"/>
      <c r="D1686" s="5"/>
      <c r="E1686" s="4"/>
      <c r="F1686" s="4"/>
      <c r="G1686" s="6"/>
      <c r="H1686" s="6"/>
      <c r="I1686" s="6"/>
      <c r="J1686" s="6"/>
    </row>
    <row r="1687" spans="1:10" ht="13.5" thickBot="1">
      <c r="A1687" s="4"/>
      <c r="B1687" s="4"/>
      <c r="C1687" s="4"/>
      <c r="D1687" s="5"/>
      <c r="E1687" s="4"/>
      <c r="F1687" s="4"/>
      <c r="G1687" s="6"/>
      <c r="H1687" s="6"/>
      <c r="I1687" s="6"/>
      <c r="J1687" s="6"/>
    </row>
    <row r="1688" spans="1:10" ht="13.5" thickBot="1">
      <c r="A1688" s="4"/>
      <c r="B1688" s="4"/>
      <c r="C1688" s="4"/>
      <c r="D1688" s="5"/>
      <c r="E1688" s="4"/>
      <c r="F1688" s="4"/>
      <c r="G1688" s="6"/>
      <c r="H1688" s="6"/>
      <c r="I1688" s="6"/>
      <c r="J1688" s="6"/>
    </row>
    <row r="1689" spans="1:10" ht="13.5" thickBot="1">
      <c r="A1689" s="4"/>
      <c r="B1689" s="4"/>
      <c r="C1689" s="4"/>
      <c r="D1689" s="5"/>
      <c r="E1689" s="4"/>
      <c r="F1689" s="4"/>
      <c r="G1689" s="6"/>
      <c r="H1689" s="6"/>
      <c r="I1689" s="6"/>
      <c r="J1689" s="6"/>
    </row>
    <row r="1690" spans="1:10" ht="13.5" thickBot="1">
      <c r="A1690" s="4"/>
      <c r="B1690" s="4"/>
      <c r="C1690" s="4"/>
      <c r="D1690" s="5"/>
      <c r="E1690" s="4"/>
      <c r="F1690" s="4"/>
      <c r="G1690" s="6"/>
      <c r="H1690" s="6"/>
      <c r="I1690" s="6"/>
      <c r="J1690" s="6"/>
    </row>
    <row r="1691" spans="1:10" ht="13.5" thickBot="1">
      <c r="A1691" s="4"/>
      <c r="B1691" s="4"/>
      <c r="C1691" s="4"/>
      <c r="D1691" s="5"/>
      <c r="E1691" s="4"/>
      <c r="F1691" s="4"/>
      <c r="G1691" s="6"/>
      <c r="H1691" s="6"/>
      <c r="I1691" s="6"/>
      <c r="J1691" s="6"/>
    </row>
    <row r="1692" spans="1:10" ht="13.5" thickBot="1">
      <c r="A1692" s="4"/>
      <c r="B1692" s="4"/>
      <c r="C1692" s="4"/>
      <c r="D1692" s="5"/>
      <c r="E1692" s="4"/>
      <c r="F1692" s="4"/>
      <c r="G1692" s="6"/>
      <c r="H1692" s="6"/>
      <c r="I1692" s="6"/>
      <c r="J1692" s="6"/>
    </row>
    <row r="1693" spans="1:10" ht="13.5" thickBot="1">
      <c r="A1693" s="4"/>
      <c r="B1693" s="4"/>
      <c r="C1693" s="4"/>
      <c r="D1693" s="5"/>
      <c r="E1693" s="4"/>
      <c r="F1693" s="4"/>
      <c r="G1693" s="6"/>
      <c r="H1693" s="6"/>
      <c r="I1693" s="6"/>
      <c r="J1693" s="6"/>
    </row>
    <row r="1694" spans="1:10" ht="13.5" thickBot="1">
      <c r="A1694" s="4"/>
      <c r="B1694" s="4"/>
      <c r="C1694" s="4"/>
      <c r="D1694" s="5"/>
      <c r="E1694" s="4"/>
      <c r="F1694" s="4"/>
      <c r="G1694" s="6"/>
      <c r="H1694" s="6"/>
      <c r="I1694" s="6"/>
      <c r="J1694" s="6"/>
    </row>
    <row r="1695" spans="1:10" ht="13.5" thickBot="1">
      <c r="A1695" s="4"/>
      <c r="B1695" s="4"/>
      <c r="C1695" s="4"/>
      <c r="D1695" s="5"/>
      <c r="E1695" s="4"/>
      <c r="F1695" s="4"/>
      <c r="G1695" s="6"/>
      <c r="H1695" s="6"/>
      <c r="I1695" s="6"/>
      <c r="J1695" s="6"/>
    </row>
    <row r="1696" spans="1:10" ht="13.5" thickBot="1">
      <c r="A1696" s="4"/>
      <c r="B1696" s="4"/>
      <c r="C1696" s="4"/>
      <c r="D1696" s="5"/>
      <c r="E1696" s="4"/>
      <c r="F1696" s="4"/>
      <c r="G1696" s="6"/>
      <c r="H1696" s="6"/>
      <c r="I1696" s="6"/>
      <c r="J1696" s="6"/>
    </row>
    <row r="1697" spans="1:10" ht="13.5" thickBot="1">
      <c r="A1697" s="4"/>
      <c r="B1697" s="4"/>
      <c r="C1697" s="4"/>
      <c r="D1697" s="5"/>
      <c r="E1697" s="4"/>
      <c r="F1697" s="4"/>
      <c r="G1697" s="6"/>
      <c r="H1697" s="6"/>
      <c r="I1697" s="6"/>
      <c r="J1697" s="6"/>
    </row>
    <row r="1698" spans="1:10" ht="13.5" thickBot="1">
      <c r="A1698" s="4"/>
      <c r="B1698" s="4"/>
      <c r="C1698" s="4"/>
      <c r="D1698" s="5"/>
      <c r="E1698" s="4"/>
      <c r="F1698" s="4"/>
      <c r="G1698" s="6"/>
      <c r="H1698" s="6"/>
      <c r="I1698" s="6"/>
      <c r="J1698" s="6"/>
    </row>
    <row r="1699" spans="1:10" ht="13.5" thickBot="1">
      <c r="A1699" s="4"/>
      <c r="B1699" s="4"/>
      <c r="C1699" s="4"/>
      <c r="D1699" s="5"/>
      <c r="E1699" s="4"/>
      <c r="F1699" s="4"/>
      <c r="G1699" s="6"/>
      <c r="H1699" s="6"/>
      <c r="I1699" s="6"/>
      <c r="J1699" s="6"/>
    </row>
    <row r="1700" spans="1:10" ht="13.5" thickBot="1">
      <c r="A1700" s="4"/>
      <c r="B1700" s="4"/>
      <c r="C1700" s="4"/>
      <c r="D1700" s="5"/>
      <c r="E1700" s="4"/>
      <c r="F1700" s="4"/>
      <c r="G1700" s="6"/>
      <c r="H1700" s="6"/>
      <c r="I1700" s="6"/>
      <c r="J1700" s="6"/>
    </row>
    <row r="1701" spans="1:10" ht="13.5" thickBot="1">
      <c r="A1701" s="4"/>
      <c r="B1701" s="4"/>
      <c r="C1701" s="4"/>
      <c r="D1701" s="5"/>
      <c r="E1701" s="4"/>
      <c r="F1701" s="4"/>
      <c r="G1701" s="6"/>
      <c r="H1701" s="6"/>
      <c r="I1701" s="6"/>
      <c r="J1701" s="6"/>
    </row>
    <row r="1702" spans="1:10" ht="13.5" thickBot="1">
      <c r="A1702" s="4"/>
      <c r="B1702" s="4"/>
      <c r="C1702" s="4"/>
      <c r="D1702" s="5"/>
      <c r="E1702" s="4"/>
      <c r="F1702" s="4"/>
      <c r="G1702" s="6"/>
      <c r="H1702" s="6"/>
      <c r="I1702" s="6"/>
      <c r="J1702" s="6"/>
    </row>
    <row r="1703" spans="1:10" ht="13.5" thickBot="1">
      <c r="A1703" s="4"/>
      <c r="B1703" s="4"/>
      <c r="C1703" s="4"/>
      <c r="D1703" s="5"/>
      <c r="E1703" s="4"/>
      <c r="F1703" s="4"/>
      <c r="G1703" s="6"/>
      <c r="H1703" s="6"/>
      <c r="I1703" s="6"/>
      <c r="J1703" s="6"/>
    </row>
    <row r="1704" spans="1:10" ht="13.5" thickBot="1">
      <c r="A1704" s="4"/>
      <c r="B1704" s="4"/>
      <c r="C1704" s="4"/>
      <c r="D1704" s="5"/>
      <c r="E1704" s="4"/>
      <c r="F1704" s="4"/>
      <c r="G1704" s="6"/>
      <c r="H1704" s="6"/>
      <c r="I1704" s="6"/>
      <c r="J1704" s="6"/>
    </row>
    <row r="1705" spans="1:10" ht="13.5" thickBot="1">
      <c r="A1705" s="4"/>
      <c r="B1705" s="4"/>
      <c r="C1705" s="4"/>
      <c r="D1705" s="5"/>
      <c r="E1705" s="4"/>
      <c r="F1705" s="4"/>
      <c r="G1705" s="6"/>
      <c r="H1705" s="6"/>
      <c r="I1705" s="6"/>
      <c r="J1705" s="6"/>
    </row>
    <row r="1706" spans="1:10" ht="13.5" thickBot="1">
      <c r="A1706" s="4"/>
      <c r="B1706" s="4"/>
      <c r="C1706" s="4"/>
      <c r="D1706" s="5"/>
      <c r="E1706" s="4"/>
      <c r="F1706" s="4"/>
      <c r="G1706" s="6"/>
      <c r="H1706" s="6"/>
      <c r="I1706" s="6"/>
      <c r="J1706" s="6"/>
    </row>
    <row r="1707" spans="1:10" ht="13.5" thickBot="1">
      <c r="A1707" s="4"/>
      <c r="B1707" s="4"/>
      <c r="C1707" s="4"/>
      <c r="D1707" s="5"/>
      <c r="E1707" s="4"/>
      <c r="F1707" s="4"/>
      <c r="G1707" s="6"/>
      <c r="H1707" s="6"/>
      <c r="I1707" s="6"/>
      <c r="J1707" s="6"/>
    </row>
    <row r="1708" spans="1:10" ht="13.5" thickBot="1">
      <c r="A1708" s="4"/>
      <c r="B1708" s="4"/>
      <c r="C1708" s="4"/>
      <c r="D1708" s="5"/>
      <c r="E1708" s="4"/>
      <c r="F1708" s="4"/>
      <c r="G1708" s="6"/>
      <c r="H1708" s="6"/>
      <c r="I1708" s="6"/>
      <c r="J1708" s="6"/>
    </row>
    <row r="1709" spans="1:10" ht="13.5" thickBot="1">
      <c r="A1709" s="4"/>
      <c r="B1709" s="4"/>
      <c r="C1709" s="4"/>
      <c r="D1709" s="5"/>
      <c r="E1709" s="4"/>
      <c r="F1709" s="4"/>
      <c r="G1709" s="6"/>
      <c r="H1709" s="6"/>
      <c r="I1709" s="6"/>
      <c r="J1709" s="6"/>
    </row>
    <row r="1710" spans="1:10" ht="13.5" thickBot="1">
      <c r="A1710" s="4"/>
      <c r="B1710" s="4"/>
      <c r="C1710" s="4"/>
      <c r="D1710" s="5"/>
      <c r="E1710" s="4"/>
      <c r="F1710" s="4"/>
      <c r="G1710" s="6"/>
      <c r="H1710" s="6"/>
      <c r="I1710" s="6"/>
      <c r="J1710" s="6"/>
    </row>
    <row r="1711" spans="1:10" ht="13.5" thickBot="1">
      <c r="A1711" s="4"/>
      <c r="B1711" s="4"/>
      <c r="C1711" s="4"/>
      <c r="D1711" s="5"/>
      <c r="E1711" s="4"/>
      <c r="F1711" s="4"/>
      <c r="G1711" s="6"/>
      <c r="H1711" s="6"/>
      <c r="I1711" s="6"/>
      <c r="J1711" s="6"/>
    </row>
    <row r="1712" spans="1:10" ht="13.5" thickBot="1">
      <c r="A1712" s="4"/>
      <c r="B1712" s="4"/>
      <c r="C1712" s="4"/>
      <c r="D1712" s="5"/>
      <c r="E1712" s="4"/>
      <c r="F1712" s="4"/>
      <c r="G1712" s="6"/>
      <c r="H1712" s="6"/>
      <c r="I1712" s="6"/>
      <c r="J1712" s="6"/>
    </row>
    <row r="1713" spans="1:10" ht="13.5" thickBot="1">
      <c r="A1713" s="4"/>
      <c r="B1713" s="4"/>
      <c r="C1713" s="4"/>
      <c r="D1713" s="5"/>
      <c r="E1713" s="4"/>
      <c r="F1713" s="4"/>
      <c r="G1713" s="6"/>
      <c r="H1713" s="6"/>
      <c r="I1713" s="6"/>
      <c r="J1713" s="6"/>
    </row>
    <row r="1714" spans="1:10" ht="13.5" thickBot="1">
      <c r="A1714" s="4"/>
      <c r="B1714" s="4"/>
      <c r="C1714" s="4"/>
      <c r="D1714" s="5"/>
      <c r="E1714" s="4"/>
      <c r="F1714" s="4"/>
      <c r="G1714" s="6"/>
      <c r="H1714" s="6"/>
      <c r="I1714" s="6"/>
      <c r="J1714" s="6"/>
    </row>
    <row r="1715" spans="1:10" ht="13.5" thickBot="1">
      <c r="A1715" s="4"/>
      <c r="B1715" s="4"/>
      <c r="C1715" s="4"/>
      <c r="D1715" s="5"/>
      <c r="E1715" s="4"/>
      <c r="F1715" s="4"/>
      <c r="G1715" s="6"/>
      <c r="H1715" s="6"/>
      <c r="I1715" s="6"/>
      <c r="J1715" s="6"/>
    </row>
    <row r="1716" spans="1:10" ht="13.5" thickBot="1">
      <c r="A1716" s="4"/>
      <c r="B1716" s="4"/>
      <c r="C1716" s="4"/>
      <c r="D1716" s="5"/>
      <c r="E1716" s="4"/>
      <c r="F1716" s="4"/>
      <c r="G1716" s="6"/>
      <c r="H1716" s="6"/>
      <c r="I1716" s="6"/>
      <c r="J1716" s="6"/>
    </row>
    <row r="1717" spans="1:10" ht="13.5" thickBot="1">
      <c r="A1717" s="4"/>
      <c r="B1717" s="4"/>
      <c r="C1717" s="4"/>
      <c r="D1717" s="5"/>
      <c r="E1717" s="4"/>
      <c r="F1717" s="4"/>
      <c r="G1717" s="6"/>
      <c r="H1717" s="6"/>
      <c r="I1717" s="6"/>
      <c r="J1717" s="6"/>
    </row>
    <row r="1718" spans="1:10" ht="13.5" thickBot="1">
      <c r="A1718" s="4"/>
      <c r="B1718" s="4"/>
      <c r="C1718" s="4"/>
      <c r="D1718" s="5"/>
      <c r="E1718" s="4"/>
      <c r="F1718" s="4"/>
      <c r="G1718" s="6"/>
      <c r="H1718" s="6"/>
      <c r="I1718" s="6"/>
      <c r="J1718" s="6"/>
    </row>
    <row r="1719" spans="1:10" ht="13.5" thickBot="1">
      <c r="A1719" s="4"/>
      <c r="B1719" s="4"/>
      <c r="C1719" s="4"/>
      <c r="D1719" s="5"/>
      <c r="E1719" s="4"/>
      <c r="F1719" s="4"/>
      <c r="G1719" s="6"/>
      <c r="H1719" s="6"/>
      <c r="I1719" s="6"/>
      <c r="J1719" s="6"/>
    </row>
    <row r="1720" spans="1:10" ht="13.5" thickBot="1">
      <c r="A1720" s="4"/>
      <c r="B1720" s="4"/>
      <c r="C1720" s="4"/>
      <c r="D1720" s="5"/>
      <c r="E1720" s="4"/>
      <c r="F1720" s="4"/>
      <c r="G1720" s="6"/>
      <c r="H1720" s="6"/>
      <c r="I1720" s="6"/>
      <c r="J1720" s="6"/>
    </row>
    <row r="1721" spans="1:10" ht="13.5" thickBot="1">
      <c r="A1721" s="4"/>
      <c r="B1721" s="4"/>
      <c r="C1721" s="4"/>
      <c r="D1721" s="5"/>
      <c r="E1721" s="4"/>
      <c r="F1721" s="4"/>
      <c r="G1721" s="6"/>
      <c r="H1721" s="6"/>
      <c r="I1721" s="6"/>
      <c r="J1721" s="6"/>
    </row>
    <row r="1722" spans="1:10" ht="13.5" thickBot="1">
      <c r="A1722" s="4"/>
      <c r="B1722" s="4"/>
      <c r="C1722" s="4"/>
      <c r="D1722" s="5"/>
      <c r="E1722" s="4"/>
      <c r="F1722" s="4"/>
      <c r="G1722" s="6"/>
      <c r="H1722" s="6"/>
      <c r="I1722" s="6"/>
      <c r="J1722" s="6"/>
    </row>
    <row r="1723" spans="1:10" ht="13.5" thickBot="1">
      <c r="A1723" s="4"/>
      <c r="B1723" s="4"/>
      <c r="C1723" s="4"/>
      <c r="D1723" s="5"/>
      <c r="E1723" s="4"/>
      <c r="F1723" s="4"/>
      <c r="G1723" s="6"/>
      <c r="H1723" s="6"/>
      <c r="I1723" s="6"/>
      <c r="J1723" s="6"/>
    </row>
    <row r="1724" spans="1:10" ht="13.5" thickBot="1">
      <c r="A1724" s="4"/>
      <c r="B1724" s="4"/>
      <c r="C1724" s="4"/>
      <c r="D1724" s="5"/>
      <c r="E1724" s="4"/>
      <c r="F1724" s="4"/>
      <c r="G1724" s="6"/>
      <c r="H1724" s="6"/>
      <c r="I1724" s="6"/>
      <c r="J1724" s="6"/>
    </row>
    <row r="1725" spans="1:10" ht="13.5" thickBot="1">
      <c r="A1725" s="4"/>
      <c r="B1725" s="4"/>
      <c r="C1725" s="4"/>
      <c r="D1725" s="5"/>
      <c r="E1725" s="4"/>
      <c r="F1725" s="4"/>
      <c r="G1725" s="6"/>
      <c r="H1725" s="6"/>
      <c r="I1725" s="6"/>
      <c r="J1725" s="6"/>
    </row>
    <row r="1726" spans="1:10" ht="13.5" thickBot="1">
      <c r="A1726" s="4"/>
      <c r="B1726" s="4"/>
      <c r="C1726" s="4"/>
      <c r="D1726" s="5"/>
      <c r="E1726" s="4"/>
      <c r="F1726" s="4"/>
      <c r="G1726" s="6"/>
      <c r="H1726" s="6"/>
      <c r="I1726" s="6"/>
      <c r="J1726" s="6"/>
    </row>
    <row r="1727" spans="1:10" ht="13.5" thickBot="1">
      <c r="A1727" s="4"/>
      <c r="B1727" s="4"/>
      <c r="C1727" s="4"/>
      <c r="D1727" s="5"/>
      <c r="E1727" s="4"/>
      <c r="F1727" s="4"/>
      <c r="G1727" s="6"/>
      <c r="H1727" s="6"/>
      <c r="I1727" s="6"/>
      <c r="J1727" s="6"/>
    </row>
    <row r="1728" spans="1:10" ht="13.5" thickBot="1">
      <c r="A1728" s="4"/>
      <c r="B1728" s="4"/>
      <c r="C1728" s="4"/>
      <c r="D1728" s="5"/>
      <c r="E1728" s="4"/>
      <c r="F1728" s="4"/>
      <c r="G1728" s="6"/>
      <c r="H1728" s="6"/>
      <c r="I1728" s="6"/>
      <c r="J1728" s="6"/>
    </row>
    <row r="1729" spans="1:10" ht="13.5" thickBot="1">
      <c r="A1729" s="4"/>
      <c r="B1729" s="4"/>
      <c r="C1729" s="4"/>
      <c r="D1729" s="5"/>
      <c r="E1729" s="4"/>
      <c r="F1729" s="4"/>
      <c r="G1729" s="6"/>
      <c r="H1729" s="6"/>
      <c r="I1729" s="6"/>
      <c r="J1729" s="6"/>
    </row>
    <row r="1730" spans="1:10" ht="13.5" thickBot="1">
      <c r="A1730" s="4"/>
      <c r="B1730" s="4"/>
      <c r="C1730" s="4"/>
      <c r="D1730" s="5"/>
      <c r="E1730" s="4"/>
      <c r="F1730" s="4"/>
      <c r="G1730" s="6"/>
      <c r="H1730" s="6"/>
      <c r="I1730" s="6"/>
      <c r="J1730" s="6"/>
    </row>
    <row r="1731" spans="1:10" ht="13.5" thickBot="1">
      <c r="A1731" s="4"/>
      <c r="B1731" s="4"/>
      <c r="C1731" s="4"/>
      <c r="D1731" s="5"/>
      <c r="E1731" s="4"/>
      <c r="F1731" s="4"/>
      <c r="G1731" s="6"/>
      <c r="H1731" s="6"/>
      <c r="I1731" s="6"/>
      <c r="J1731" s="6"/>
    </row>
    <row r="1732" spans="1:10" ht="13.5" thickBot="1">
      <c r="A1732" s="4"/>
      <c r="B1732" s="4"/>
      <c r="C1732" s="4"/>
      <c r="D1732" s="5"/>
      <c r="E1732" s="4"/>
      <c r="F1732" s="4"/>
      <c r="G1732" s="6"/>
      <c r="H1732" s="6"/>
      <c r="I1732" s="6"/>
      <c r="J1732" s="6"/>
    </row>
    <row r="1733" spans="1:10" ht="13.5" thickBot="1">
      <c r="A1733" s="4"/>
      <c r="B1733" s="4"/>
      <c r="C1733" s="4"/>
      <c r="D1733" s="5"/>
      <c r="E1733" s="4"/>
      <c r="F1733" s="4"/>
      <c r="G1733" s="6"/>
      <c r="H1733" s="6"/>
      <c r="I1733" s="6"/>
      <c r="J1733" s="6"/>
    </row>
    <row r="1734" spans="1:10" ht="13.5" thickBot="1">
      <c r="A1734" s="4"/>
      <c r="B1734" s="4"/>
      <c r="C1734" s="4"/>
      <c r="D1734" s="5"/>
      <c r="E1734" s="4"/>
      <c r="F1734" s="4"/>
      <c r="G1734" s="6"/>
      <c r="H1734" s="6"/>
      <c r="I1734" s="6"/>
      <c r="J1734" s="6"/>
    </row>
    <row r="1735" spans="1:10" ht="13.5" thickBot="1">
      <c r="A1735" s="4"/>
      <c r="B1735" s="4"/>
      <c r="C1735" s="4"/>
      <c r="D1735" s="5"/>
      <c r="E1735" s="4"/>
      <c r="F1735" s="4"/>
      <c r="G1735" s="6"/>
      <c r="H1735" s="6"/>
      <c r="I1735" s="6"/>
      <c r="J1735" s="6"/>
    </row>
    <row r="1736" spans="1:10" ht="13.5" thickBot="1">
      <c r="A1736" s="4"/>
      <c r="B1736" s="4"/>
      <c r="C1736" s="4"/>
      <c r="D1736" s="5"/>
      <c r="E1736" s="4"/>
      <c r="F1736" s="4"/>
      <c r="G1736" s="6"/>
      <c r="H1736" s="6"/>
      <c r="I1736" s="6"/>
      <c r="J1736" s="6"/>
    </row>
    <row r="1737" spans="1:10" ht="13.5" thickBot="1">
      <c r="A1737" s="4"/>
      <c r="B1737" s="4"/>
      <c r="C1737" s="4"/>
      <c r="D1737" s="5"/>
      <c r="E1737" s="4"/>
      <c r="F1737" s="4"/>
      <c r="G1737" s="6"/>
      <c r="H1737" s="6"/>
      <c r="I1737" s="6"/>
      <c r="J1737" s="6"/>
    </row>
    <row r="1738" spans="1:10" ht="13.5" thickBot="1">
      <c r="A1738" s="4"/>
      <c r="B1738" s="4"/>
      <c r="C1738" s="4"/>
      <c r="D1738" s="5"/>
      <c r="E1738" s="4"/>
      <c r="F1738" s="4"/>
      <c r="G1738" s="6"/>
      <c r="H1738" s="6"/>
      <c r="I1738" s="6"/>
      <c r="J1738" s="6"/>
    </row>
    <row r="1739" spans="1:10" ht="13.5" thickBot="1">
      <c r="A1739" s="4"/>
      <c r="B1739" s="4"/>
      <c r="C1739" s="4"/>
      <c r="D1739" s="5"/>
      <c r="E1739" s="4"/>
      <c r="F1739" s="4"/>
      <c r="G1739" s="6"/>
      <c r="H1739" s="6"/>
      <c r="I1739" s="6"/>
      <c r="J1739" s="6"/>
    </row>
    <row r="1740" spans="1:10" ht="13.5" thickBot="1">
      <c r="A1740" s="4"/>
      <c r="B1740" s="4"/>
      <c r="C1740" s="4"/>
      <c r="D1740" s="5"/>
      <c r="E1740" s="4"/>
      <c r="F1740" s="4"/>
      <c r="G1740" s="6"/>
      <c r="H1740" s="6"/>
      <c r="I1740" s="6"/>
      <c r="J1740" s="6"/>
    </row>
    <row r="1741" spans="1:10" ht="13.5" thickBot="1">
      <c r="A1741" s="4"/>
      <c r="B1741" s="4"/>
      <c r="C1741" s="4"/>
      <c r="D1741" s="5"/>
      <c r="E1741" s="4"/>
      <c r="F1741" s="4"/>
      <c r="G1741" s="6"/>
      <c r="H1741" s="6"/>
      <c r="I1741" s="6"/>
      <c r="J1741" s="6"/>
    </row>
    <row r="1742" spans="1:10" ht="13.5" thickBot="1">
      <c r="A1742" s="4"/>
      <c r="B1742" s="4"/>
      <c r="C1742" s="4"/>
      <c r="D1742" s="5"/>
      <c r="E1742" s="4"/>
      <c r="F1742" s="4"/>
      <c r="G1742" s="6"/>
      <c r="H1742" s="6"/>
      <c r="I1742" s="6"/>
      <c r="J1742" s="6"/>
    </row>
    <row r="1743" spans="1:10" ht="13.5" thickBot="1">
      <c r="A1743" s="4"/>
      <c r="B1743" s="4"/>
      <c r="C1743" s="4"/>
      <c r="D1743" s="5"/>
      <c r="E1743" s="4"/>
      <c r="F1743" s="4"/>
      <c r="G1743" s="6"/>
      <c r="H1743" s="6"/>
      <c r="I1743" s="6"/>
      <c r="J1743" s="6"/>
    </row>
    <row r="1744" spans="1:10" ht="13.5" thickBot="1">
      <c r="A1744" s="4"/>
      <c r="B1744" s="4"/>
      <c r="C1744" s="4"/>
      <c r="D1744" s="5"/>
      <c r="E1744" s="4"/>
      <c r="F1744" s="4"/>
      <c r="G1744" s="6"/>
      <c r="H1744" s="6"/>
      <c r="I1744" s="6"/>
      <c r="J1744" s="6"/>
    </row>
    <row r="1745" spans="1:10" ht="13.5" thickBot="1">
      <c r="A1745" s="4"/>
      <c r="B1745" s="4"/>
      <c r="C1745" s="4"/>
      <c r="D1745" s="5"/>
      <c r="E1745" s="4"/>
      <c r="F1745" s="4"/>
      <c r="G1745" s="6"/>
      <c r="H1745" s="6"/>
      <c r="I1745" s="6"/>
      <c r="J1745" s="6"/>
    </row>
    <row r="1746" spans="1:10" ht="13.5" thickBot="1">
      <c r="A1746" s="4"/>
      <c r="B1746" s="4"/>
      <c r="C1746" s="4"/>
      <c r="D1746" s="5"/>
      <c r="E1746" s="4"/>
      <c r="F1746" s="4"/>
      <c r="G1746" s="6"/>
      <c r="H1746" s="6"/>
      <c r="I1746" s="6"/>
      <c r="J1746" s="6"/>
    </row>
    <row r="1747" spans="1:10" ht="13.5" thickBot="1">
      <c r="A1747" s="4"/>
      <c r="B1747" s="4"/>
      <c r="C1747" s="4"/>
      <c r="D1747" s="5"/>
      <c r="E1747" s="4"/>
      <c r="F1747" s="4"/>
      <c r="G1747" s="6"/>
      <c r="H1747" s="6"/>
      <c r="I1747" s="6"/>
      <c r="J1747" s="6"/>
    </row>
    <row r="1748" spans="1:10" ht="13.5" thickBot="1">
      <c r="A1748" s="4"/>
      <c r="B1748" s="4"/>
      <c r="C1748" s="4"/>
      <c r="D1748" s="5"/>
      <c r="E1748" s="4"/>
      <c r="F1748" s="4"/>
      <c r="G1748" s="6"/>
      <c r="H1748" s="6"/>
      <c r="I1748" s="6"/>
      <c r="J1748" s="6"/>
    </row>
    <row r="1749" spans="1:10" ht="13.5" thickBot="1">
      <c r="A1749" s="4"/>
      <c r="B1749" s="4"/>
      <c r="C1749" s="4"/>
      <c r="D1749" s="5"/>
      <c r="E1749" s="4"/>
      <c r="F1749" s="4"/>
      <c r="G1749" s="6"/>
      <c r="H1749" s="6"/>
      <c r="I1749" s="6"/>
      <c r="J1749" s="6"/>
    </row>
    <row r="1750" spans="1:10" ht="13.5" thickBot="1">
      <c r="A1750" s="4"/>
      <c r="B1750" s="4"/>
      <c r="C1750" s="4"/>
      <c r="D1750" s="5"/>
      <c r="E1750" s="4"/>
      <c r="F1750" s="4"/>
      <c r="G1750" s="6"/>
      <c r="H1750" s="6"/>
      <c r="I1750" s="6"/>
      <c r="J1750" s="6"/>
    </row>
    <row r="1751" spans="1:10" ht="13.5" thickBot="1">
      <c r="A1751" s="4"/>
      <c r="B1751" s="4"/>
      <c r="C1751" s="4"/>
      <c r="D1751" s="5"/>
      <c r="E1751" s="4"/>
      <c r="F1751" s="4"/>
      <c r="G1751" s="6"/>
      <c r="H1751" s="6"/>
      <c r="I1751" s="6"/>
      <c r="J1751" s="6"/>
    </row>
    <row r="1752" spans="1:10" ht="13.5" thickBot="1">
      <c r="A1752" s="4"/>
      <c r="B1752" s="4"/>
      <c r="C1752" s="4"/>
      <c r="D1752" s="5"/>
      <c r="E1752" s="4"/>
      <c r="F1752" s="4"/>
      <c r="G1752" s="6"/>
      <c r="H1752" s="6"/>
      <c r="I1752" s="6"/>
      <c r="J1752" s="6"/>
    </row>
    <row r="1753" spans="1:10" ht="13.5" thickBot="1">
      <c r="A1753" s="4"/>
      <c r="B1753" s="4"/>
      <c r="C1753" s="4"/>
      <c r="D1753" s="5"/>
      <c r="E1753" s="4"/>
      <c r="F1753" s="4"/>
      <c r="G1753" s="6"/>
      <c r="H1753" s="6"/>
      <c r="I1753" s="6"/>
      <c r="J1753" s="6"/>
    </row>
    <row r="1754" spans="1:10" ht="13.5" thickBot="1">
      <c r="A1754" s="4"/>
      <c r="B1754" s="4"/>
      <c r="C1754" s="4"/>
      <c r="D1754" s="5"/>
      <c r="E1754" s="4"/>
      <c r="F1754" s="4"/>
      <c r="G1754" s="6"/>
      <c r="H1754" s="6"/>
      <c r="I1754" s="6"/>
      <c r="J1754" s="6"/>
    </row>
    <row r="1755" spans="1:10" ht="13.5" thickBot="1">
      <c r="A1755" s="4"/>
      <c r="B1755" s="4"/>
      <c r="C1755" s="4"/>
      <c r="D1755" s="5"/>
      <c r="E1755" s="4"/>
      <c r="F1755" s="4"/>
      <c r="G1755" s="6"/>
      <c r="H1755" s="6"/>
      <c r="I1755" s="6"/>
      <c r="J1755" s="6"/>
    </row>
    <row r="1756" spans="1:10" ht="13.5" thickBot="1">
      <c r="A1756" s="4"/>
      <c r="B1756" s="4"/>
      <c r="C1756" s="4"/>
      <c r="D1756" s="5"/>
      <c r="E1756" s="4"/>
      <c r="F1756" s="4"/>
      <c r="G1756" s="6"/>
      <c r="H1756" s="6"/>
      <c r="I1756" s="6"/>
      <c r="J1756" s="6"/>
    </row>
    <row r="1757" spans="1:10" ht="13.5" thickBot="1">
      <c r="A1757" s="4"/>
      <c r="B1757" s="4"/>
      <c r="C1757" s="4"/>
      <c r="D1757" s="5"/>
      <c r="E1757" s="4"/>
      <c r="F1757" s="4"/>
      <c r="G1757" s="6"/>
      <c r="H1757" s="6"/>
      <c r="I1757" s="6"/>
      <c r="J1757" s="6"/>
    </row>
    <row r="1758" spans="1:10" ht="13.5" thickBot="1">
      <c r="A1758" s="4"/>
      <c r="B1758" s="4"/>
      <c r="C1758" s="4"/>
      <c r="D1758" s="5"/>
      <c r="E1758" s="4"/>
      <c r="F1758" s="4"/>
      <c r="G1758" s="6"/>
      <c r="H1758" s="6"/>
      <c r="I1758" s="6"/>
      <c r="J1758" s="6"/>
    </row>
    <row r="1759" spans="1:10" ht="13.5" thickBot="1">
      <c r="A1759" s="4"/>
      <c r="B1759" s="4"/>
      <c r="C1759" s="4"/>
      <c r="D1759" s="5"/>
      <c r="E1759" s="4"/>
      <c r="F1759" s="4"/>
      <c r="G1759" s="6"/>
      <c r="H1759" s="6"/>
      <c r="I1759" s="6"/>
      <c r="J1759" s="6"/>
    </row>
    <row r="1760" spans="1:10" ht="13.5" thickBot="1">
      <c r="A1760" s="4"/>
      <c r="B1760" s="4"/>
      <c r="C1760" s="4"/>
      <c r="D1760" s="5"/>
      <c r="E1760" s="4"/>
      <c r="F1760" s="4"/>
      <c r="G1760" s="6"/>
      <c r="H1760" s="6"/>
      <c r="I1760" s="6"/>
      <c r="J1760" s="6"/>
    </row>
    <row r="1761" spans="1:10" ht="13.5" thickBot="1">
      <c r="A1761" s="4"/>
      <c r="B1761" s="4"/>
      <c r="C1761" s="4"/>
      <c r="D1761" s="5"/>
      <c r="E1761" s="4"/>
      <c r="F1761" s="4"/>
      <c r="G1761" s="6"/>
      <c r="H1761" s="6"/>
      <c r="I1761" s="6"/>
      <c r="J1761" s="6"/>
    </row>
    <row r="1762" spans="1:10" ht="13.5" thickBot="1">
      <c r="A1762" s="4"/>
      <c r="B1762" s="4"/>
      <c r="C1762" s="4"/>
      <c r="D1762" s="5"/>
      <c r="E1762" s="4"/>
      <c r="F1762" s="4"/>
      <c r="G1762" s="6"/>
      <c r="H1762" s="6"/>
      <c r="I1762" s="6"/>
      <c r="J1762" s="6"/>
    </row>
    <row r="1763" spans="1:10" ht="13.5" thickBot="1">
      <c r="A1763" s="4"/>
      <c r="B1763" s="4"/>
      <c r="C1763" s="4"/>
      <c r="D1763" s="5"/>
      <c r="E1763" s="4"/>
      <c r="F1763" s="4"/>
      <c r="G1763" s="6"/>
      <c r="H1763" s="6"/>
      <c r="I1763" s="6"/>
      <c r="J1763" s="6"/>
    </row>
    <row r="1764" spans="1:10" ht="13.5" thickBot="1">
      <c r="A1764" s="4"/>
      <c r="B1764" s="4"/>
      <c r="C1764" s="4"/>
      <c r="D1764" s="5"/>
      <c r="E1764" s="4"/>
      <c r="F1764" s="4"/>
      <c r="G1764" s="6"/>
      <c r="H1764" s="6"/>
      <c r="I1764" s="6"/>
      <c r="J1764" s="6"/>
    </row>
    <row r="1765" spans="1:10" ht="13.5" thickBot="1">
      <c r="A1765" s="4"/>
      <c r="B1765" s="4"/>
      <c r="C1765" s="4"/>
      <c r="D1765" s="5"/>
      <c r="E1765" s="4"/>
      <c r="F1765" s="4"/>
      <c r="G1765" s="6"/>
      <c r="H1765" s="6"/>
      <c r="I1765" s="6"/>
      <c r="J1765" s="6"/>
    </row>
    <row r="1766" spans="1:10" ht="13.5" thickBot="1">
      <c r="A1766" s="4"/>
      <c r="B1766" s="4"/>
      <c r="C1766" s="4"/>
      <c r="D1766" s="5"/>
      <c r="E1766" s="4"/>
      <c r="F1766" s="4"/>
      <c r="G1766" s="6"/>
      <c r="H1766" s="6"/>
      <c r="I1766" s="6"/>
      <c r="J1766" s="6"/>
    </row>
    <row r="1767" spans="1:10" ht="13.5" thickBot="1">
      <c r="A1767" s="4"/>
      <c r="B1767" s="4"/>
      <c r="C1767" s="4"/>
      <c r="D1767" s="5"/>
      <c r="E1767" s="4"/>
      <c r="F1767" s="4"/>
      <c r="G1767" s="6"/>
      <c r="H1767" s="6"/>
      <c r="I1767" s="6"/>
      <c r="J1767" s="6"/>
    </row>
    <row r="1768" spans="1:10" ht="13.5" thickBot="1">
      <c r="A1768" s="4"/>
      <c r="B1768" s="4"/>
      <c r="C1768" s="4"/>
      <c r="D1768" s="5"/>
      <c r="E1768" s="4"/>
      <c r="F1768" s="4"/>
      <c r="G1768" s="6"/>
      <c r="H1768" s="6"/>
      <c r="I1768" s="6"/>
      <c r="J1768" s="6"/>
    </row>
    <row r="1769" spans="1:10" ht="13.5" thickBot="1">
      <c r="A1769" s="4"/>
      <c r="B1769" s="4"/>
      <c r="C1769" s="4"/>
      <c r="D1769" s="5"/>
      <c r="E1769" s="4"/>
      <c r="F1769" s="4"/>
      <c r="G1769" s="6"/>
      <c r="H1769" s="6"/>
      <c r="I1769" s="6"/>
      <c r="J1769" s="6"/>
    </row>
    <row r="1770" spans="1:10" ht="13.5" thickBot="1">
      <c r="A1770" s="4"/>
      <c r="B1770" s="4"/>
      <c r="C1770" s="4"/>
      <c r="D1770" s="5"/>
      <c r="E1770" s="4"/>
      <c r="F1770" s="4"/>
      <c r="G1770" s="6"/>
      <c r="H1770" s="6"/>
      <c r="I1770" s="6"/>
      <c r="J1770" s="6"/>
    </row>
    <row r="1771" spans="1:10" ht="13.5" thickBot="1">
      <c r="A1771" s="4"/>
      <c r="B1771" s="4"/>
      <c r="C1771" s="4"/>
      <c r="D1771" s="5"/>
      <c r="E1771" s="4"/>
      <c r="F1771" s="4"/>
      <c r="G1771" s="6"/>
      <c r="H1771" s="6"/>
      <c r="I1771" s="6"/>
      <c r="J1771" s="6"/>
    </row>
    <row r="1772" spans="1:10" ht="13.5" thickBot="1">
      <c r="A1772" s="4"/>
      <c r="B1772" s="4"/>
      <c r="C1772" s="4"/>
      <c r="D1772" s="5"/>
      <c r="E1772" s="4"/>
      <c r="F1772" s="4"/>
      <c r="G1772" s="6"/>
      <c r="H1772" s="6"/>
      <c r="I1772" s="6"/>
      <c r="J1772" s="6"/>
    </row>
    <row r="1773" spans="1:10" ht="13.5" thickBot="1">
      <c r="A1773" s="4"/>
      <c r="B1773" s="4"/>
      <c r="C1773" s="4"/>
      <c r="D1773" s="5"/>
      <c r="E1773" s="4"/>
      <c r="F1773" s="4"/>
      <c r="G1773" s="6"/>
      <c r="H1773" s="6"/>
      <c r="I1773" s="6"/>
      <c r="J1773" s="6"/>
    </row>
    <row r="1774" spans="1:10" ht="13.5" thickBot="1">
      <c r="A1774" s="4"/>
      <c r="B1774" s="4"/>
      <c r="C1774" s="4"/>
      <c r="D1774" s="5"/>
      <c r="E1774" s="4"/>
      <c r="F1774" s="4"/>
      <c r="G1774" s="6"/>
      <c r="H1774" s="6"/>
      <c r="I1774" s="6"/>
      <c r="J1774" s="6"/>
    </row>
    <row r="1775" spans="1:10" ht="13.5" thickBot="1">
      <c r="A1775" s="4"/>
      <c r="B1775" s="4"/>
      <c r="C1775" s="4"/>
      <c r="D1775" s="5"/>
      <c r="E1775" s="4"/>
      <c r="F1775" s="4"/>
      <c r="G1775" s="6"/>
      <c r="H1775" s="6"/>
      <c r="I1775" s="6"/>
      <c r="J1775" s="6"/>
    </row>
    <row r="1776" spans="1:10" ht="13.5" thickBot="1">
      <c r="A1776" s="4"/>
      <c r="B1776" s="4"/>
      <c r="C1776" s="4"/>
      <c r="D1776" s="5"/>
      <c r="E1776" s="4"/>
      <c r="F1776" s="4"/>
      <c r="G1776" s="6"/>
      <c r="H1776" s="6"/>
      <c r="I1776" s="6"/>
      <c r="J1776" s="6"/>
    </row>
    <row r="1777" spans="1:10" ht="13.5" thickBot="1">
      <c r="A1777" s="4"/>
      <c r="B1777" s="4"/>
      <c r="C1777" s="4"/>
      <c r="D1777" s="5"/>
      <c r="E1777" s="4"/>
      <c r="F1777" s="4"/>
      <c r="G1777" s="6"/>
      <c r="H1777" s="6"/>
      <c r="I1777" s="6"/>
      <c r="J1777" s="6"/>
    </row>
    <row r="1778" spans="1:10" ht="13.5" thickBot="1">
      <c r="A1778" s="4"/>
      <c r="B1778" s="4"/>
      <c r="C1778" s="4"/>
      <c r="D1778" s="5"/>
      <c r="E1778" s="4"/>
      <c r="F1778" s="4"/>
      <c r="G1778" s="6"/>
      <c r="H1778" s="6"/>
      <c r="I1778" s="6"/>
      <c r="J1778" s="6"/>
    </row>
    <row r="1779" spans="1:10" ht="13.5" thickBot="1">
      <c r="A1779" s="4"/>
      <c r="B1779" s="4"/>
      <c r="C1779" s="4"/>
      <c r="D1779" s="5"/>
      <c r="E1779" s="4"/>
      <c r="F1779" s="4"/>
      <c r="G1779" s="6"/>
      <c r="H1779" s="6"/>
      <c r="I1779" s="6"/>
      <c r="J1779" s="6"/>
    </row>
    <row r="1780" spans="1:10" ht="13.5" thickBot="1">
      <c r="A1780" s="4"/>
      <c r="B1780" s="4"/>
      <c r="C1780" s="4"/>
      <c r="D1780" s="5"/>
      <c r="E1780" s="4"/>
      <c r="F1780" s="4"/>
      <c r="G1780" s="6"/>
      <c r="H1780" s="6"/>
      <c r="I1780" s="6"/>
      <c r="J1780" s="6"/>
    </row>
    <row r="1781" spans="1:10" ht="13.5" thickBot="1">
      <c r="A1781" s="4"/>
      <c r="B1781" s="4"/>
      <c r="C1781" s="4"/>
      <c r="D1781" s="5"/>
      <c r="E1781" s="4"/>
      <c r="F1781" s="4"/>
      <c r="G1781" s="6"/>
      <c r="H1781" s="6"/>
      <c r="I1781" s="6"/>
      <c r="J1781" s="6"/>
    </row>
    <row r="1782" spans="1:10" ht="13.5" thickBot="1">
      <c r="A1782" s="4"/>
      <c r="B1782" s="4"/>
      <c r="C1782" s="4"/>
      <c r="D1782" s="5"/>
      <c r="E1782" s="4"/>
      <c r="F1782" s="4"/>
      <c r="G1782" s="6"/>
      <c r="H1782" s="6"/>
      <c r="I1782" s="6"/>
      <c r="J1782" s="6"/>
    </row>
    <row r="1783" spans="1:10" ht="13.5" thickBot="1">
      <c r="A1783" s="4"/>
      <c r="B1783" s="4"/>
      <c r="C1783" s="4"/>
      <c r="D1783" s="5"/>
      <c r="E1783" s="4"/>
      <c r="F1783" s="4"/>
      <c r="G1783" s="6"/>
      <c r="H1783" s="6"/>
      <c r="I1783" s="6"/>
      <c r="J1783" s="6"/>
    </row>
    <row r="1784" spans="1:10" ht="13.5" thickBot="1">
      <c r="A1784" s="4"/>
      <c r="B1784" s="4"/>
      <c r="C1784" s="4"/>
      <c r="D1784" s="5"/>
      <c r="E1784" s="4"/>
      <c r="F1784" s="4"/>
      <c r="G1784" s="6"/>
      <c r="H1784" s="6"/>
      <c r="I1784" s="6"/>
      <c r="J1784" s="6"/>
    </row>
    <row r="1785" spans="1:10" ht="13.5" thickBot="1">
      <c r="A1785" s="4"/>
      <c r="B1785" s="4"/>
      <c r="C1785" s="4"/>
      <c r="D1785" s="5"/>
      <c r="E1785" s="4"/>
      <c r="F1785" s="4"/>
      <c r="G1785" s="6"/>
      <c r="H1785" s="6"/>
      <c r="I1785" s="6"/>
      <c r="J1785" s="6"/>
    </row>
    <row r="1786" spans="1:10" ht="13.5" thickBot="1">
      <c r="A1786" s="4"/>
      <c r="B1786" s="4"/>
      <c r="C1786" s="4"/>
      <c r="D1786" s="5"/>
      <c r="E1786" s="4"/>
      <c r="F1786" s="4"/>
      <c r="G1786" s="6"/>
      <c r="H1786" s="6"/>
      <c r="I1786" s="6"/>
      <c r="J1786" s="6"/>
    </row>
    <row r="1787" spans="1:10" ht="13.5" thickBot="1">
      <c r="A1787" s="4"/>
      <c r="B1787" s="4"/>
      <c r="C1787" s="4"/>
      <c r="D1787" s="5"/>
      <c r="E1787" s="4"/>
      <c r="F1787" s="4"/>
      <c r="G1787" s="6"/>
      <c r="H1787" s="6"/>
      <c r="I1787" s="6"/>
      <c r="J1787" s="6"/>
    </row>
    <row r="1788" spans="1:10" ht="13.5" thickBot="1">
      <c r="A1788" s="4"/>
      <c r="B1788" s="4"/>
      <c r="C1788" s="4"/>
      <c r="D1788" s="5"/>
      <c r="E1788" s="4"/>
      <c r="F1788" s="4"/>
      <c r="G1788" s="6"/>
      <c r="H1788" s="6"/>
      <c r="I1788" s="6"/>
      <c r="J1788" s="6"/>
    </row>
    <row r="1789" spans="1:10" ht="13.5" thickBot="1">
      <c r="A1789" s="4"/>
      <c r="B1789" s="4"/>
      <c r="C1789" s="4"/>
      <c r="D1789" s="5"/>
      <c r="E1789" s="4"/>
      <c r="F1789" s="4"/>
      <c r="G1789" s="6"/>
      <c r="H1789" s="6"/>
      <c r="I1789" s="6"/>
      <c r="J1789" s="6"/>
    </row>
    <row r="1790" spans="1:10" ht="13.5" thickBot="1">
      <c r="A1790" s="4"/>
      <c r="B1790" s="4"/>
      <c r="C1790" s="4"/>
      <c r="D1790" s="5"/>
      <c r="E1790" s="4"/>
      <c r="F1790" s="4"/>
      <c r="G1790" s="6"/>
      <c r="H1790" s="6"/>
      <c r="I1790" s="6"/>
      <c r="J1790" s="6"/>
    </row>
    <row r="1791" spans="1:10" ht="13.5" thickBot="1">
      <c r="A1791" s="4"/>
      <c r="B1791" s="4"/>
      <c r="C1791" s="4"/>
      <c r="D1791" s="5"/>
      <c r="E1791" s="4"/>
      <c r="F1791" s="4"/>
      <c r="G1791" s="6"/>
      <c r="H1791" s="6"/>
      <c r="I1791" s="6"/>
      <c r="J1791" s="6"/>
    </row>
    <row r="1792" spans="1:10" ht="13.5" thickBot="1">
      <c r="A1792" s="4"/>
      <c r="B1792" s="4"/>
      <c r="C1792" s="4"/>
      <c r="D1792" s="5"/>
      <c r="E1792" s="4"/>
      <c r="F1792" s="4"/>
      <c r="G1792" s="6"/>
      <c r="H1792" s="6"/>
      <c r="I1792" s="6"/>
      <c r="J1792" s="6"/>
    </row>
    <row r="1793" spans="1:10" ht="13.5" thickBot="1">
      <c r="A1793" s="4"/>
      <c r="B1793" s="4"/>
      <c r="C1793" s="4"/>
      <c r="D1793" s="5"/>
      <c r="E1793" s="4"/>
      <c r="F1793" s="4"/>
      <c r="G1793" s="6"/>
      <c r="H1793" s="6"/>
      <c r="I1793" s="6"/>
      <c r="J1793" s="6"/>
    </row>
    <row r="1794" spans="1:10" ht="13.5" thickBot="1">
      <c r="A1794" s="4"/>
      <c r="B1794" s="4"/>
      <c r="C1794" s="4"/>
      <c r="D1794" s="5"/>
      <c r="E1794" s="4"/>
      <c r="F1794" s="4"/>
      <c r="G1794" s="6"/>
      <c r="H1794" s="6"/>
      <c r="I1794" s="6"/>
      <c r="J1794" s="6"/>
    </row>
    <row r="1795" spans="1:10" ht="13.5" thickBot="1">
      <c r="A1795" s="4"/>
      <c r="B1795" s="4"/>
      <c r="C1795" s="4"/>
      <c r="D1795" s="5"/>
      <c r="E1795" s="4"/>
      <c r="F1795" s="4"/>
      <c r="G1795" s="6"/>
      <c r="H1795" s="6"/>
      <c r="I1795" s="6"/>
      <c r="J1795" s="6"/>
    </row>
    <row r="1796" spans="1:10" ht="13.5" thickBot="1">
      <c r="A1796" s="4"/>
      <c r="B1796" s="4"/>
      <c r="C1796" s="4"/>
      <c r="D1796" s="5"/>
      <c r="E1796" s="4"/>
      <c r="F1796" s="4"/>
      <c r="G1796" s="6"/>
      <c r="H1796" s="6"/>
      <c r="I1796" s="6"/>
      <c r="J1796" s="6"/>
    </row>
    <row r="1797" spans="1:10" ht="13.5" thickBot="1">
      <c r="A1797" s="4"/>
      <c r="B1797" s="4"/>
      <c r="C1797" s="4"/>
      <c r="D1797" s="5"/>
      <c r="E1797" s="4"/>
      <c r="F1797" s="4"/>
      <c r="G1797" s="6"/>
      <c r="H1797" s="6"/>
      <c r="I1797" s="6"/>
      <c r="J1797" s="6"/>
    </row>
    <row r="1798" spans="1:10" ht="13.5" thickBot="1">
      <c r="A1798" s="4"/>
      <c r="B1798" s="4"/>
      <c r="C1798" s="4"/>
      <c r="D1798" s="5"/>
      <c r="E1798" s="4"/>
      <c r="F1798" s="4"/>
      <c r="G1798" s="6"/>
      <c r="H1798" s="6"/>
      <c r="I1798" s="6"/>
      <c r="J1798" s="6"/>
    </row>
    <row r="1799" spans="1:10" ht="13.5" thickBot="1">
      <c r="A1799" s="4"/>
      <c r="B1799" s="4"/>
      <c r="C1799" s="4"/>
      <c r="D1799" s="5"/>
      <c r="E1799" s="4"/>
      <c r="F1799" s="4"/>
      <c r="G1799" s="6"/>
      <c r="H1799" s="6"/>
      <c r="I1799" s="6"/>
      <c r="J1799" s="6"/>
    </row>
    <row r="1800" spans="1:10" ht="13.5" thickBot="1">
      <c r="A1800" s="4"/>
      <c r="B1800" s="4"/>
      <c r="C1800" s="4"/>
      <c r="D1800" s="5"/>
      <c r="E1800" s="4"/>
      <c r="F1800" s="4"/>
      <c r="G1800" s="6"/>
      <c r="H1800" s="6"/>
      <c r="I1800" s="6"/>
      <c r="J1800" s="6"/>
    </row>
    <row r="1801" spans="1:10" ht="13.5" thickBot="1">
      <c r="A1801" s="4"/>
      <c r="B1801" s="4"/>
      <c r="C1801" s="4"/>
      <c r="D1801" s="5"/>
      <c r="E1801" s="4"/>
      <c r="F1801" s="4"/>
      <c r="G1801" s="6"/>
      <c r="H1801" s="6"/>
      <c r="I1801" s="6"/>
      <c r="J1801" s="6"/>
    </row>
    <row r="1802" spans="1:10" ht="13.5" thickBot="1">
      <c r="A1802" s="4"/>
      <c r="B1802" s="4"/>
      <c r="C1802" s="4"/>
      <c r="D1802" s="5"/>
      <c r="E1802" s="4"/>
      <c r="F1802" s="4"/>
      <c r="G1802" s="6"/>
      <c r="H1802" s="6"/>
      <c r="I1802" s="6"/>
      <c r="J1802" s="6"/>
    </row>
    <row r="1803" spans="1:10" ht="13.5" thickBot="1">
      <c r="A1803" s="4"/>
      <c r="B1803" s="4"/>
      <c r="C1803" s="4"/>
      <c r="D1803" s="5"/>
      <c r="E1803" s="4"/>
      <c r="F1803" s="4"/>
      <c r="G1803" s="6"/>
      <c r="H1803" s="6"/>
      <c r="I1803" s="6"/>
      <c r="J1803" s="6"/>
    </row>
    <row r="1804" spans="1:10" ht="13.5" thickBot="1">
      <c r="A1804" s="4"/>
      <c r="B1804" s="4"/>
      <c r="C1804" s="4"/>
      <c r="D1804" s="5"/>
      <c r="E1804" s="4"/>
      <c r="F1804" s="4"/>
      <c r="G1804" s="6"/>
      <c r="H1804" s="6"/>
      <c r="I1804" s="6"/>
      <c r="J1804" s="6"/>
    </row>
    <row r="1805" spans="1:10" ht="13.5" thickBot="1">
      <c r="A1805" s="4"/>
      <c r="B1805" s="4"/>
      <c r="C1805" s="4"/>
      <c r="D1805" s="5"/>
      <c r="E1805" s="4"/>
      <c r="F1805" s="4"/>
      <c r="G1805" s="6"/>
      <c r="H1805" s="6"/>
      <c r="I1805" s="6"/>
      <c r="J1805" s="6"/>
    </row>
    <row r="1806" spans="1:10" ht="13.5" thickBot="1">
      <c r="A1806" s="4"/>
      <c r="B1806" s="4"/>
      <c r="C1806" s="4"/>
      <c r="D1806" s="5"/>
      <c r="E1806" s="4"/>
      <c r="F1806" s="4"/>
      <c r="G1806" s="6"/>
      <c r="H1806" s="6"/>
      <c r="I1806" s="6"/>
      <c r="J1806" s="6"/>
    </row>
    <row r="1807" spans="1:10" ht="13.5" thickBot="1">
      <c r="A1807" s="4"/>
      <c r="B1807" s="4"/>
      <c r="C1807" s="4"/>
      <c r="D1807" s="5"/>
      <c r="E1807" s="4"/>
      <c r="F1807" s="4"/>
      <c r="G1807" s="6"/>
      <c r="H1807" s="6"/>
      <c r="I1807" s="6"/>
      <c r="J1807" s="6"/>
    </row>
    <row r="1808" spans="1:10" ht="13.5" thickBot="1">
      <c r="A1808" s="4"/>
      <c r="B1808" s="4"/>
      <c r="C1808" s="4"/>
      <c r="D1808" s="5"/>
      <c r="E1808" s="4"/>
      <c r="F1808" s="4"/>
      <c r="G1808" s="6"/>
      <c r="H1808" s="6"/>
      <c r="I1808" s="6"/>
      <c r="J1808" s="6"/>
    </row>
    <row r="1809" spans="1:10" ht="13.5" thickBot="1">
      <c r="A1809" s="4"/>
      <c r="B1809" s="4"/>
      <c r="C1809" s="4"/>
      <c r="D1809" s="5"/>
      <c r="E1809" s="4"/>
      <c r="F1809" s="4"/>
      <c r="G1809" s="6"/>
      <c r="H1809" s="6"/>
      <c r="I1809" s="6"/>
      <c r="J1809" s="6"/>
    </row>
    <row r="1810" spans="1:10" ht="13.5" thickBot="1">
      <c r="A1810" s="4"/>
      <c r="B1810" s="4"/>
      <c r="C1810" s="4"/>
      <c r="D1810" s="5"/>
      <c r="E1810" s="4"/>
      <c r="F1810" s="4"/>
      <c r="G1810" s="6"/>
      <c r="H1810" s="6"/>
      <c r="I1810" s="6"/>
      <c r="J1810" s="6"/>
    </row>
    <row r="1811" spans="1:10" ht="13.5" thickBot="1">
      <c r="A1811" s="4"/>
      <c r="B1811" s="4"/>
      <c r="C1811" s="4"/>
      <c r="D1811" s="5"/>
      <c r="E1811" s="4"/>
      <c r="F1811" s="4"/>
      <c r="G1811" s="6"/>
      <c r="H1811" s="6"/>
      <c r="I1811" s="6"/>
      <c r="J1811" s="6"/>
    </row>
    <row r="1812" spans="1:10" ht="13.5" thickBot="1">
      <c r="A1812" s="4"/>
      <c r="B1812" s="4"/>
      <c r="C1812" s="4"/>
      <c r="D1812" s="5"/>
      <c r="E1812" s="4"/>
      <c r="F1812" s="4"/>
      <c r="G1812" s="6"/>
      <c r="H1812" s="6"/>
      <c r="I1812" s="6"/>
      <c r="J1812" s="6"/>
    </row>
    <row r="1813" spans="1:10" ht="13.5" thickBot="1">
      <c r="A1813" s="4"/>
      <c r="B1813" s="4"/>
      <c r="C1813" s="4"/>
      <c r="D1813" s="5"/>
      <c r="E1813" s="4"/>
      <c r="F1813" s="4"/>
      <c r="G1813" s="6"/>
      <c r="H1813" s="6"/>
      <c r="I1813" s="6"/>
      <c r="J1813" s="6"/>
    </row>
    <row r="1814" spans="1:10" ht="13.5" thickBot="1">
      <c r="A1814" s="4"/>
      <c r="B1814" s="4"/>
      <c r="C1814" s="4"/>
      <c r="D1814" s="5"/>
      <c r="E1814" s="4"/>
      <c r="F1814" s="4"/>
      <c r="G1814" s="6"/>
      <c r="H1814" s="6"/>
      <c r="I1814" s="6"/>
      <c r="J1814" s="6"/>
    </row>
    <row r="1815" spans="1:10" ht="13.5" thickBot="1">
      <c r="A1815" s="4"/>
      <c r="B1815" s="4"/>
      <c r="C1815" s="4"/>
      <c r="D1815" s="5"/>
      <c r="E1815" s="4"/>
      <c r="F1815" s="4"/>
      <c r="G1815" s="6"/>
      <c r="H1815" s="6"/>
      <c r="I1815" s="6"/>
      <c r="J1815" s="6"/>
    </row>
    <row r="1816" spans="1:10" ht="13.5" thickBot="1">
      <c r="A1816" s="4"/>
      <c r="B1816" s="4"/>
      <c r="C1816" s="4"/>
      <c r="D1816" s="5"/>
      <c r="E1816" s="4"/>
      <c r="F1816" s="4"/>
      <c r="G1816" s="6"/>
      <c r="H1816" s="6"/>
      <c r="I1816" s="6"/>
      <c r="J1816" s="6"/>
    </row>
    <row r="1817" spans="1:10" ht="13.5" thickBot="1">
      <c r="A1817" s="4"/>
      <c r="B1817" s="4"/>
      <c r="C1817" s="4"/>
      <c r="D1817" s="5"/>
      <c r="E1817" s="4"/>
      <c r="F1817" s="4"/>
      <c r="G1817" s="6"/>
      <c r="H1817" s="6"/>
      <c r="I1817" s="6"/>
      <c r="J1817" s="6"/>
    </row>
    <row r="1818" spans="1:10" ht="13.5" thickBot="1">
      <c r="A1818" s="4"/>
      <c r="B1818" s="4"/>
      <c r="C1818" s="4"/>
      <c r="D1818" s="5"/>
      <c r="E1818" s="4"/>
      <c r="F1818" s="4"/>
      <c r="G1818" s="6"/>
      <c r="H1818" s="6"/>
      <c r="I1818" s="6"/>
      <c r="J1818" s="6"/>
    </row>
    <row r="1819" spans="1:10" ht="13.5" thickBot="1">
      <c r="A1819" s="4"/>
      <c r="B1819" s="4"/>
      <c r="C1819" s="4"/>
      <c r="D1819" s="5"/>
      <c r="E1819" s="4"/>
      <c r="F1819" s="4"/>
      <c r="G1819" s="6"/>
      <c r="H1819" s="6"/>
      <c r="I1819" s="6"/>
      <c r="J1819" s="6"/>
    </row>
    <row r="1820" spans="1:10" ht="13.5" thickBot="1">
      <c r="A1820" s="4"/>
      <c r="B1820" s="4"/>
      <c r="C1820" s="4"/>
      <c r="D1820" s="5"/>
      <c r="E1820" s="4"/>
      <c r="F1820" s="4"/>
      <c r="G1820" s="6"/>
      <c r="H1820" s="6"/>
      <c r="I1820" s="6"/>
      <c r="J1820" s="6"/>
    </row>
    <row r="1821" spans="1:10" ht="13.5" thickBot="1">
      <c r="A1821" s="4"/>
      <c r="B1821" s="4"/>
      <c r="C1821" s="4"/>
      <c r="D1821" s="5"/>
      <c r="E1821" s="4"/>
      <c r="F1821" s="4"/>
      <c r="G1821" s="6"/>
      <c r="H1821" s="6"/>
      <c r="I1821" s="6"/>
      <c r="J1821" s="6"/>
    </row>
    <row r="1822" spans="1:10" ht="13.5" thickBot="1">
      <c r="A1822" s="4"/>
      <c r="B1822" s="4"/>
      <c r="C1822" s="4"/>
      <c r="D1822" s="5"/>
      <c r="E1822" s="4"/>
      <c r="F1822" s="4"/>
      <c r="G1822" s="6"/>
      <c r="H1822" s="6"/>
      <c r="I1822" s="6"/>
      <c r="J1822" s="6"/>
    </row>
    <row r="1823" spans="1:10" ht="13.5" thickBot="1">
      <c r="A1823" s="4"/>
      <c r="B1823" s="4"/>
      <c r="C1823" s="4"/>
      <c r="D1823" s="5"/>
      <c r="E1823" s="4"/>
      <c r="F1823" s="4"/>
      <c r="G1823" s="6"/>
      <c r="H1823" s="6"/>
      <c r="I1823" s="6"/>
      <c r="J1823" s="6"/>
    </row>
    <row r="1824" spans="1:10" ht="13.5" thickBot="1">
      <c r="A1824" s="4"/>
      <c r="B1824" s="4"/>
      <c r="C1824" s="4"/>
      <c r="D1824" s="5"/>
      <c r="E1824" s="4"/>
      <c r="F1824" s="4"/>
      <c r="G1824" s="6"/>
      <c r="H1824" s="6"/>
      <c r="I1824" s="6"/>
      <c r="J1824" s="6"/>
    </row>
    <row r="1825" spans="1:10" ht="13.5" thickBot="1">
      <c r="A1825" s="4"/>
      <c r="B1825" s="4"/>
      <c r="C1825" s="4"/>
      <c r="D1825" s="5"/>
      <c r="E1825" s="4"/>
      <c r="F1825" s="4"/>
      <c r="G1825" s="6"/>
      <c r="H1825" s="6"/>
      <c r="I1825" s="6"/>
      <c r="J1825" s="6"/>
    </row>
    <row r="1826" spans="1:10" ht="13.5" thickBot="1">
      <c r="A1826" s="4"/>
      <c r="B1826" s="4"/>
      <c r="C1826" s="4"/>
      <c r="D1826" s="5"/>
      <c r="E1826" s="4"/>
      <c r="F1826" s="4"/>
      <c r="G1826" s="6"/>
      <c r="H1826" s="6"/>
      <c r="I1826" s="6"/>
      <c r="J1826" s="6"/>
    </row>
    <row r="1827" spans="1:10" ht="13.5" thickBot="1">
      <c r="A1827" s="4"/>
      <c r="B1827" s="4"/>
      <c r="C1827" s="4"/>
      <c r="D1827" s="5"/>
      <c r="E1827" s="4"/>
      <c r="F1827" s="4"/>
      <c r="G1827" s="6"/>
      <c r="H1827" s="6"/>
      <c r="I1827" s="6"/>
      <c r="J1827" s="6"/>
    </row>
    <row r="1828" spans="1:10" ht="13.5" thickBot="1">
      <c r="A1828" s="4"/>
      <c r="B1828" s="4"/>
      <c r="C1828" s="4"/>
      <c r="D1828" s="5"/>
      <c r="E1828" s="4"/>
      <c r="F1828" s="4"/>
      <c r="G1828" s="6"/>
      <c r="H1828" s="6"/>
      <c r="I1828" s="6"/>
      <c r="J1828" s="6"/>
    </row>
    <row r="1829" spans="1:10" ht="13.5" thickBot="1">
      <c r="A1829" s="4"/>
      <c r="B1829" s="4"/>
      <c r="C1829" s="4"/>
      <c r="D1829" s="5"/>
      <c r="E1829" s="4"/>
      <c r="F1829" s="4"/>
      <c r="G1829" s="6"/>
      <c r="H1829" s="6"/>
      <c r="I1829" s="6"/>
      <c r="J1829" s="6"/>
    </row>
    <row r="1830" spans="1:10" ht="13.5" thickBot="1">
      <c r="A1830" s="4"/>
      <c r="B1830" s="4"/>
      <c r="C1830" s="4"/>
      <c r="D1830" s="5"/>
      <c r="E1830" s="4"/>
      <c r="F1830" s="4"/>
      <c r="G1830" s="6"/>
      <c r="H1830" s="6"/>
      <c r="I1830" s="6"/>
      <c r="J1830" s="6"/>
    </row>
    <row r="1831" spans="1:10" ht="13.5" thickBot="1">
      <c r="A1831" s="4"/>
      <c r="B1831" s="4"/>
      <c r="C1831" s="4"/>
      <c r="D1831" s="5"/>
      <c r="E1831" s="4"/>
      <c r="F1831" s="4"/>
      <c r="G1831" s="6"/>
      <c r="H1831" s="6"/>
      <c r="I1831" s="6"/>
      <c r="J1831" s="6"/>
    </row>
    <row r="1832" spans="1:10" ht="13.5" thickBot="1">
      <c r="A1832" s="4"/>
      <c r="B1832" s="4"/>
      <c r="C1832" s="4"/>
      <c r="D1832" s="5"/>
      <c r="E1832" s="4"/>
      <c r="F1832" s="4"/>
      <c r="G1832" s="6"/>
      <c r="H1832" s="6"/>
      <c r="I1832" s="6"/>
      <c r="J1832" s="6"/>
    </row>
    <row r="1833" spans="1:10" ht="13.5" thickBot="1">
      <c r="A1833" s="4"/>
      <c r="B1833" s="4"/>
      <c r="C1833" s="4"/>
      <c r="D1833" s="5"/>
      <c r="E1833" s="4"/>
      <c r="F1833" s="4"/>
      <c r="G1833" s="6"/>
      <c r="H1833" s="6"/>
      <c r="I1833" s="6"/>
      <c r="J1833" s="6"/>
    </row>
    <row r="1834" spans="1:10" ht="13.5" thickBot="1">
      <c r="A1834" s="4"/>
      <c r="B1834" s="4"/>
      <c r="C1834" s="4"/>
      <c r="D1834" s="5"/>
      <c r="E1834" s="4"/>
      <c r="F1834" s="4"/>
      <c r="G1834" s="6"/>
      <c r="H1834" s="6"/>
      <c r="I1834" s="6"/>
      <c r="J1834" s="6"/>
    </row>
    <row r="1835" spans="1:10" ht="13.5" thickBot="1">
      <c r="A1835" s="4"/>
      <c r="B1835" s="4"/>
      <c r="C1835" s="4"/>
      <c r="D1835" s="5"/>
      <c r="E1835" s="4"/>
      <c r="F1835" s="4"/>
      <c r="G1835" s="6"/>
      <c r="H1835" s="6"/>
      <c r="I1835" s="6"/>
      <c r="J1835" s="6"/>
    </row>
    <row r="1836" spans="1:10" ht="13.5" thickBot="1">
      <c r="A1836" s="4"/>
      <c r="B1836" s="4"/>
      <c r="C1836" s="4"/>
      <c r="D1836" s="5"/>
      <c r="E1836" s="4"/>
      <c r="F1836" s="4"/>
      <c r="G1836" s="6"/>
      <c r="H1836" s="6"/>
      <c r="I1836" s="6"/>
      <c r="J1836" s="6"/>
    </row>
    <row r="1837" spans="1:10" ht="13.5" thickBot="1">
      <c r="A1837" s="4"/>
      <c r="B1837" s="4"/>
      <c r="C1837" s="4"/>
      <c r="D1837" s="5"/>
      <c r="E1837" s="4"/>
      <c r="F1837" s="4"/>
      <c r="G1837" s="6"/>
      <c r="H1837" s="6"/>
      <c r="I1837" s="6"/>
      <c r="J1837" s="6"/>
    </row>
    <row r="1838" spans="1:10" ht="13.5" thickBot="1">
      <c r="A1838" s="4"/>
      <c r="B1838" s="4"/>
      <c r="C1838" s="4"/>
      <c r="D1838" s="5"/>
      <c r="E1838" s="4"/>
      <c r="F1838" s="4"/>
      <c r="G1838" s="6"/>
      <c r="H1838" s="6"/>
      <c r="I1838" s="6"/>
      <c r="J1838" s="6"/>
    </row>
    <row r="1839" spans="1:10" ht="13.5" thickBot="1">
      <c r="A1839" s="4"/>
      <c r="B1839" s="4"/>
      <c r="C1839" s="4"/>
      <c r="D1839" s="5"/>
      <c r="E1839" s="4"/>
      <c r="F1839" s="4"/>
      <c r="G1839" s="6"/>
      <c r="H1839" s="6"/>
      <c r="I1839" s="6"/>
      <c r="J1839" s="6"/>
    </row>
    <row r="1840" spans="1:10" ht="13.5" thickBot="1">
      <c r="A1840" s="4"/>
      <c r="B1840" s="4"/>
      <c r="C1840" s="4"/>
      <c r="D1840" s="5"/>
      <c r="E1840" s="4"/>
      <c r="F1840" s="4"/>
      <c r="G1840" s="6"/>
      <c r="H1840" s="6"/>
      <c r="I1840" s="6"/>
      <c r="J1840" s="6"/>
    </row>
    <row r="1841" spans="1:10" ht="13.5" thickBot="1">
      <c r="A1841" s="4"/>
      <c r="B1841" s="4"/>
      <c r="C1841" s="4"/>
      <c r="D1841" s="5"/>
      <c r="E1841" s="4"/>
      <c r="F1841" s="4"/>
      <c r="G1841" s="6"/>
      <c r="H1841" s="6"/>
      <c r="I1841" s="6"/>
      <c r="J1841" s="6"/>
    </row>
    <row r="1842" spans="1:10" ht="13.5" thickBot="1">
      <c r="A1842" s="4"/>
      <c r="B1842" s="4"/>
      <c r="C1842" s="4"/>
      <c r="D1842" s="5"/>
      <c r="E1842" s="4"/>
      <c r="F1842" s="4"/>
      <c r="G1842" s="6"/>
      <c r="H1842" s="6"/>
      <c r="I1842" s="6"/>
      <c r="J1842" s="6"/>
    </row>
    <row r="1843" spans="1:10" ht="13.5" thickBot="1">
      <c r="A1843" s="4"/>
      <c r="B1843" s="4"/>
      <c r="C1843" s="4"/>
      <c r="D1843" s="5"/>
      <c r="E1843" s="4"/>
      <c r="F1843" s="4"/>
      <c r="G1843" s="6"/>
      <c r="H1843" s="6"/>
      <c r="I1843" s="6"/>
      <c r="J1843" s="6"/>
    </row>
    <row r="1844" spans="1:10" ht="13.5" thickBot="1">
      <c r="A1844" s="4"/>
      <c r="B1844" s="4"/>
      <c r="C1844" s="4"/>
      <c r="D1844" s="5"/>
      <c r="E1844" s="4"/>
      <c r="F1844" s="4"/>
      <c r="G1844" s="6"/>
      <c r="H1844" s="6"/>
      <c r="I1844" s="6"/>
      <c r="J1844" s="6"/>
    </row>
    <row r="1845" spans="1:10" ht="13.5" thickBot="1">
      <c r="A1845" s="4"/>
      <c r="B1845" s="4"/>
      <c r="C1845" s="4"/>
      <c r="D1845" s="5"/>
      <c r="E1845" s="4"/>
      <c r="F1845" s="4"/>
      <c r="G1845" s="6"/>
      <c r="H1845" s="6"/>
      <c r="I1845" s="6"/>
      <c r="J1845" s="6"/>
    </row>
    <row r="1846" spans="1:10" ht="13.5" thickBot="1">
      <c r="A1846" s="4"/>
      <c r="B1846" s="4"/>
      <c r="C1846" s="4"/>
      <c r="D1846" s="5"/>
      <c r="E1846" s="4"/>
      <c r="F1846" s="4"/>
      <c r="G1846" s="6"/>
      <c r="H1846" s="6"/>
      <c r="I1846" s="6"/>
      <c r="J1846" s="6"/>
    </row>
    <row r="1847" spans="1:10" ht="13.5" thickBot="1">
      <c r="A1847" s="4"/>
      <c r="B1847" s="4"/>
      <c r="C1847" s="4"/>
      <c r="D1847" s="5"/>
      <c r="E1847" s="4"/>
      <c r="F1847" s="4"/>
      <c r="G1847" s="6"/>
      <c r="H1847" s="6"/>
      <c r="I1847" s="6"/>
      <c r="J1847" s="6"/>
    </row>
    <row r="1848" spans="1:10" ht="13.5" thickBot="1">
      <c r="A1848" s="4"/>
      <c r="B1848" s="4"/>
      <c r="C1848" s="4"/>
      <c r="D1848" s="5"/>
      <c r="E1848" s="4"/>
      <c r="F1848" s="4"/>
      <c r="G1848" s="6"/>
      <c r="H1848" s="6"/>
      <c r="I1848" s="6"/>
      <c r="J1848" s="6"/>
    </row>
    <row r="1849" spans="1:10" ht="13.5" thickBot="1">
      <c r="A1849" s="4"/>
      <c r="B1849" s="4"/>
      <c r="C1849" s="4"/>
      <c r="D1849" s="5"/>
      <c r="E1849" s="4"/>
      <c r="F1849" s="4"/>
      <c r="G1849" s="6"/>
      <c r="H1849" s="6"/>
      <c r="I1849" s="6"/>
      <c r="J1849" s="6"/>
    </row>
    <row r="1850" spans="1:10" ht="13.5" thickBot="1">
      <c r="A1850" s="4"/>
      <c r="B1850" s="4"/>
      <c r="C1850" s="4"/>
      <c r="D1850" s="5"/>
      <c r="E1850" s="4"/>
      <c r="F1850" s="4"/>
      <c r="G1850" s="6"/>
      <c r="H1850" s="6"/>
      <c r="I1850" s="6"/>
      <c r="J1850" s="6"/>
    </row>
    <row r="1851" spans="1:10" ht="13.5" thickBot="1">
      <c r="A1851" s="4"/>
      <c r="B1851" s="4"/>
      <c r="C1851" s="4"/>
      <c r="D1851" s="5"/>
      <c r="E1851" s="4"/>
      <c r="F1851" s="4"/>
      <c r="G1851" s="6"/>
      <c r="H1851" s="6"/>
      <c r="I1851" s="6"/>
      <c r="J1851" s="6"/>
    </row>
    <row r="1852" spans="1:10" ht="13.5" thickBot="1">
      <c r="A1852" s="4"/>
      <c r="B1852" s="4"/>
      <c r="C1852" s="4"/>
      <c r="D1852" s="5"/>
      <c r="E1852" s="4"/>
      <c r="F1852" s="4"/>
      <c r="G1852" s="6"/>
      <c r="H1852" s="6"/>
      <c r="I1852" s="6"/>
      <c r="J1852" s="6"/>
    </row>
    <row r="1853" spans="1:10" ht="13.5" thickBot="1">
      <c r="A1853" s="4"/>
      <c r="B1853" s="4"/>
      <c r="C1853" s="4"/>
      <c r="D1853" s="5"/>
      <c r="E1853" s="4"/>
      <c r="F1853" s="4"/>
      <c r="G1853" s="6"/>
      <c r="H1853" s="6"/>
      <c r="I1853" s="6"/>
      <c r="J1853" s="6"/>
    </row>
    <row r="1854" spans="1:10" ht="13.5" thickBot="1">
      <c r="A1854" s="4"/>
      <c r="B1854" s="4"/>
      <c r="C1854" s="4"/>
      <c r="D1854" s="5"/>
      <c r="E1854" s="4"/>
      <c r="F1854" s="4"/>
      <c r="G1854" s="6"/>
      <c r="H1854" s="6"/>
      <c r="I1854" s="6"/>
      <c r="J1854" s="6"/>
    </row>
    <row r="1855" spans="1:10" ht="13.5" thickBot="1">
      <c r="A1855" s="4"/>
      <c r="B1855" s="4"/>
      <c r="C1855" s="4"/>
      <c r="D1855" s="5"/>
      <c r="E1855" s="4"/>
      <c r="F1855" s="4"/>
      <c r="G1855" s="6"/>
      <c r="H1855" s="6"/>
      <c r="I1855" s="6"/>
      <c r="J1855" s="6"/>
    </row>
    <row r="1856" spans="1:10" ht="13.5" thickBot="1">
      <c r="A1856" s="4"/>
      <c r="B1856" s="4"/>
      <c r="C1856" s="4"/>
      <c r="D1856" s="5"/>
      <c r="E1856" s="4"/>
      <c r="F1856" s="4"/>
      <c r="G1856" s="6"/>
      <c r="H1856" s="6"/>
      <c r="I1856" s="6"/>
      <c r="J1856" s="6"/>
    </row>
    <row r="1857" spans="1:10" ht="13.5" thickBot="1">
      <c r="A1857" s="4"/>
      <c r="B1857" s="4"/>
      <c r="C1857" s="4"/>
      <c r="D1857" s="5"/>
      <c r="E1857" s="4"/>
      <c r="F1857" s="4"/>
      <c r="G1857" s="6"/>
      <c r="H1857" s="6"/>
      <c r="I1857" s="6"/>
      <c r="J1857" s="6"/>
    </row>
    <row r="1858" spans="1:10" ht="13.5" thickBot="1">
      <c r="A1858" s="4"/>
      <c r="B1858" s="4"/>
      <c r="C1858" s="4"/>
      <c r="D1858" s="5"/>
      <c r="E1858" s="4"/>
      <c r="F1858" s="4"/>
      <c r="G1858" s="6"/>
      <c r="H1858" s="6"/>
      <c r="I1858" s="6"/>
      <c r="J1858" s="6"/>
    </row>
    <row r="1859" spans="1:10" ht="13.5" thickBot="1">
      <c r="A1859" s="4"/>
      <c r="B1859" s="4"/>
      <c r="C1859" s="4"/>
      <c r="D1859" s="5"/>
      <c r="E1859" s="4"/>
      <c r="F1859" s="4"/>
      <c r="G1859" s="6"/>
      <c r="H1859" s="6"/>
      <c r="I1859" s="6"/>
      <c r="J1859" s="6"/>
    </row>
    <row r="1860" spans="1:10" ht="13.5" thickBot="1">
      <c r="A1860" s="4"/>
      <c r="B1860" s="4"/>
      <c r="C1860" s="4"/>
      <c r="D1860" s="5"/>
      <c r="E1860" s="4"/>
      <c r="F1860" s="4"/>
      <c r="G1860" s="6"/>
      <c r="H1860" s="6"/>
      <c r="I1860" s="6"/>
      <c r="J1860" s="6"/>
    </row>
    <row r="1861" spans="1:10" ht="13.5" thickBot="1">
      <c r="A1861" s="4"/>
      <c r="B1861" s="4"/>
      <c r="C1861" s="4"/>
      <c r="D1861" s="5"/>
      <c r="E1861" s="4"/>
      <c r="F1861" s="4"/>
      <c r="G1861" s="6"/>
      <c r="H1861" s="6"/>
      <c r="I1861" s="6"/>
      <c r="J1861" s="6"/>
    </row>
    <row r="1862" spans="1:10" ht="13.5" thickBot="1">
      <c r="A1862" s="4"/>
      <c r="B1862" s="4"/>
      <c r="C1862" s="4"/>
      <c r="D1862" s="5"/>
      <c r="E1862" s="4"/>
      <c r="F1862" s="4"/>
      <c r="G1862" s="6"/>
      <c r="H1862" s="6"/>
      <c r="I1862" s="6"/>
      <c r="J1862" s="6"/>
    </row>
    <row r="1863" spans="1:10" ht="13.5" thickBot="1">
      <c r="A1863" s="4"/>
      <c r="B1863" s="4"/>
      <c r="C1863" s="4"/>
      <c r="D1863" s="5"/>
      <c r="E1863" s="4"/>
      <c r="F1863" s="4"/>
      <c r="G1863" s="6"/>
      <c r="H1863" s="6"/>
      <c r="I1863" s="6"/>
      <c r="J1863" s="6"/>
    </row>
    <row r="1864" spans="1:10" ht="13.5" thickBot="1">
      <c r="A1864" s="4"/>
      <c r="B1864" s="4"/>
      <c r="C1864" s="4"/>
      <c r="D1864" s="5"/>
      <c r="E1864" s="4"/>
      <c r="F1864" s="4"/>
      <c r="G1864" s="6"/>
      <c r="H1864" s="6"/>
      <c r="I1864" s="6"/>
      <c r="J1864" s="6"/>
    </row>
    <row r="1865" spans="1:10" ht="13.5" thickBot="1">
      <c r="A1865" s="4"/>
      <c r="B1865" s="4"/>
      <c r="C1865" s="4"/>
      <c r="D1865" s="5"/>
      <c r="E1865" s="4"/>
      <c r="F1865" s="4"/>
      <c r="G1865" s="6"/>
      <c r="H1865" s="6"/>
      <c r="I1865" s="6"/>
      <c r="J1865" s="6"/>
    </row>
    <row r="1866" spans="1:10" ht="13.5" thickBot="1">
      <c r="A1866" s="4"/>
      <c r="B1866" s="4"/>
      <c r="C1866" s="4"/>
      <c r="D1866" s="5"/>
      <c r="E1866" s="4"/>
      <c r="F1866" s="4"/>
      <c r="G1866" s="6"/>
      <c r="H1866" s="6"/>
      <c r="I1866" s="6"/>
      <c r="J1866" s="6"/>
    </row>
    <row r="1867" spans="1:10" ht="13.5" thickBot="1">
      <c r="A1867" s="4"/>
      <c r="B1867" s="4"/>
      <c r="C1867" s="4"/>
      <c r="D1867" s="5"/>
      <c r="E1867" s="4"/>
      <c r="F1867" s="4"/>
      <c r="G1867" s="6"/>
      <c r="H1867" s="6"/>
      <c r="I1867" s="6"/>
      <c r="J1867" s="6"/>
    </row>
  </sheetData>
  <autoFilter ref="A1:J361"/>
  <conditionalFormatting sqref="F362:F945">
    <cfRule type="duplicateValues" dxfId="1" priority="3"/>
  </conditionalFormatting>
  <conditionalFormatting sqref="F6:F361">
    <cfRule type="duplicateValues" dxfId="0" priority="1"/>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dados!$F$2:$F$8</xm:f>
          </x14:formula1>
          <xm:sqref>F362:F945</xm:sqref>
        </x14:dataValidation>
        <x14:dataValidation type="list" allowBlank="1" showInputMessage="1" showErrorMessage="1">
          <x14:formula1>
            <xm:f>#REF!</xm:f>
          </x14:formula1>
          <xm:sqref>F2:F361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H1363"/>
  <sheetViews>
    <sheetView topLeftCell="C1" workbookViewId="0">
      <selection activeCell="F2" sqref="F2"/>
    </sheetView>
  </sheetViews>
  <sheetFormatPr defaultRowHeight="12.75"/>
  <cols>
    <col min="1" max="1" width="23.42578125" bestFit="1" customWidth="1"/>
    <col min="2" max="2" width="31.28515625" customWidth="1"/>
    <col min="3" max="3" width="38" customWidth="1"/>
    <col min="4" max="4" width="67" bestFit="1" customWidth="1"/>
    <col min="5" max="5" width="55.7109375" customWidth="1"/>
    <col min="6" max="6" width="19.85546875" bestFit="1" customWidth="1"/>
  </cols>
  <sheetData>
    <row r="1" spans="1:8">
      <c r="A1" s="12" t="s">
        <v>11</v>
      </c>
      <c r="B1" s="12" t="s">
        <v>12</v>
      </c>
      <c r="C1" t="s">
        <v>13</v>
      </c>
      <c r="D1" t="s">
        <v>14</v>
      </c>
      <c r="E1" s="13" t="s">
        <v>15</v>
      </c>
      <c r="F1" s="12" t="s">
        <v>16</v>
      </c>
      <c r="G1" s="14" t="s">
        <v>17</v>
      </c>
      <c r="H1" t="s">
        <v>18</v>
      </c>
    </row>
    <row r="2" spans="1:8">
      <c r="A2" t="s">
        <v>19</v>
      </c>
      <c r="B2" t="s">
        <v>20</v>
      </c>
      <c r="C2" t="s">
        <v>21</v>
      </c>
      <c r="D2" t="s">
        <v>22</v>
      </c>
      <c r="E2" t="s">
        <v>23</v>
      </c>
      <c r="F2" t="s">
        <v>24</v>
      </c>
      <c r="G2" s="14" t="s">
        <v>25</v>
      </c>
      <c r="H2" t="s">
        <v>26</v>
      </c>
    </row>
    <row r="3" spans="1:8">
      <c r="A3" t="s">
        <v>27</v>
      </c>
      <c r="B3" t="s">
        <v>28</v>
      </c>
      <c r="C3" t="s">
        <v>29</v>
      </c>
      <c r="D3" t="s">
        <v>30</v>
      </c>
      <c r="E3" t="s">
        <v>31</v>
      </c>
      <c r="F3" t="s">
        <v>32</v>
      </c>
      <c r="G3" s="14" t="s">
        <v>33</v>
      </c>
      <c r="H3" t="s">
        <v>34</v>
      </c>
    </row>
    <row r="4" spans="1:8">
      <c r="A4" t="s">
        <v>35</v>
      </c>
      <c r="B4" t="s">
        <v>36</v>
      </c>
      <c r="C4" t="s">
        <v>37</v>
      </c>
      <c r="D4" t="s">
        <v>38</v>
      </c>
      <c r="E4" t="s">
        <v>39</v>
      </c>
      <c r="F4" t="s">
        <v>10</v>
      </c>
      <c r="G4" s="14" t="s">
        <v>40</v>
      </c>
      <c r="H4" t="s">
        <v>41</v>
      </c>
    </row>
    <row r="5" spans="1:8">
      <c r="A5" t="s">
        <v>42</v>
      </c>
      <c r="B5" t="s">
        <v>43</v>
      </c>
      <c r="C5" t="s">
        <v>44</v>
      </c>
      <c r="D5" t="s">
        <v>45</v>
      </c>
      <c r="E5" t="s">
        <v>46</v>
      </c>
      <c r="F5" t="s">
        <v>47</v>
      </c>
      <c r="G5" s="14" t="s">
        <v>48</v>
      </c>
      <c r="H5" t="s">
        <v>49</v>
      </c>
    </row>
    <row r="6" spans="1:8">
      <c r="A6" t="s">
        <v>50</v>
      </c>
      <c r="B6" t="s">
        <v>51</v>
      </c>
      <c r="C6" t="s">
        <v>52</v>
      </c>
      <c r="D6" t="s">
        <v>53</v>
      </c>
      <c r="E6" t="s">
        <v>54</v>
      </c>
      <c r="F6" t="s">
        <v>55</v>
      </c>
      <c r="G6" s="14" t="s">
        <v>56</v>
      </c>
      <c r="H6" t="s">
        <v>57</v>
      </c>
    </row>
    <row r="7" spans="1:8">
      <c r="A7" t="s">
        <v>58</v>
      </c>
      <c r="B7" t="s">
        <v>59</v>
      </c>
      <c r="C7" t="s">
        <v>60</v>
      </c>
      <c r="D7" t="s">
        <v>61</v>
      </c>
      <c r="E7" t="s">
        <v>62</v>
      </c>
      <c r="F7" t="s">
        <v>63</v>
      </c>
      <c r="G7" s="14" t="s">
        <v>64</v>
      </c>
      <c r="H7" t="s">
        <v>65</v>
      </c>
    </row>
    <row r="8" spans="1:8">
      <c r="A8" t="s">
        <v>66</v>
      </c>
      <c r="B8" t="s">
        <v>67</v>
      </c>
      <c r="C8" s="12" t="s">
        <v>68</v>
      </c>
      <c r="D8" t="s">
        <v>69</v>
      </c>
      <c r="E8" t="s">
        <v>70</v>
      </c>
      <c r="F8" t="s">
        <v>71</v>
      </c>
      <c r="G8" s="14" t="s">
        <v>72</v>
      </c>
      <c r="H8" t="s">
        <v>73</v>
      </c>
    </row>
    <row r="9" spans="1:8">
      <c r="A9" t="s">
        <v>74</v>
      </c>
      <c r="B9" t="s">
        <v>75</v>
      </c>
      <c r="D9" t="s">
        <v>76</v>
      </c>
      <c r="E9" t="s">
        <v>77</v>
      </c>
      <c r="G9" s="14" t="s">
        <v>78</v>
      </c>
      <c r="H9" t="s">
        <v>79</v>
      </c>
    </row>
    <row r="10" spans="1:8">
      <c r="A10" t="s">
        <v>80</v>
      </c>
      <c r="B10" t="s">
        <v>81</v>
      </c>
      <c r="D10" t="s">
        <v>82</v>
      </c>
      <c r="E10" t="s">
        <v>83</v>
      </c>
      <c r="G10" s="14" t="s">
        <v>84</v>
      </c>
      <c r="H10" t="s">
        <v>85</v>
      </c>
    </row>
    <row r="11" spans="1:8">
      <c r="B11" t="s">
        <v>86</v>
      </c>
      <c r="D11" t="s">
        <v>87</v>
      </c>
      <c r="E11" t="s">
        <v>88</v>
      </c>
      <c r="G11" s="14" t="s">
        <v>89</v>
      </c>
      <c r="H11" t="s">
        <v>90</v>
      </c>
    </row>
    <row r="12" spans="1:8">
      <c r="B12" t="s">
        <v>91</v>
      </c>
      <c r="D12" t="s">
        <v>92</v>
      </c>
      <c r="G12" s="14" t="s">
        <v>93</v>
      </c>
      <c r="H12" t="s">
        <v>94</v>
      </c>
    </row>
    <row r="13" spans="1:8">
      <c r="D13" t="s">
        <v>95</v>
      </c>
      <c r="H13" t="s">
        <v>96</v>
      </c>
    </row>
    <row r="14" spans="1:8">
      <c r="D14" t="s">
        <v>97</v>
      </c>
      <c r="E14" s="13" t="s">
        <v>98</v>
      </c>
      <c r="H14" t="s">
        <v>99</v>
      </c>
    </row>
    <row r="15" spans="1:8">
      <c r="D15" t="s">
        <v>100</v>
      </c>
      <c r="E15" s="12" t="s">
        <v>101</v>
      </c>
      <c r="H15" t="s">
        <v>102</v>
      </c>
    </row>
    <row r="16" spans="1:8">
      <c r="D16" t="s">
        <v>103</v>
      </c>
      <c r="E16" t="s">
        <v>104</v>
      </c>
      <c r="H16" t="s">
        <v>105</v>
      </c>
    </row>
    <row r="17" spans="4:8">
      <c r="D17" t="s">
        <v>106</v>
      </c>
      <c r="E17" t="s">
        <v>107</v>
      </c>
      <c r="H17" t="s">
        <v>108</v>
      </c>
    </row>
    <row r="18" spans="4:8">
      <c r="D18" t="s">
        <v>109</v>
      </c>
      <c r="E18" t="s">
        <v>110</v>
      </c>
      <c r="H18" t="s">
        <v>111</v>
      </c>
    </row>
    <row r="19" spans="4:8">
      <c r="D19" t="s">
        <v>112</v>
      </c>
      <c r="E19" t="s">
        <v>113</v>
      </c>
      <c r="H19" t="s">
        <v>114</v>
      </c>
    </row>
    <row r="20" spans="4:8">
      <c r="D20" t="s">
        <v>115</v>
      </c>
      <c r="E20" t="s">
        <v>116</v>
      </c>
      <c r="H20" t="s">
        <v>117</v>
      </c>
    </row>
    <row r="21" spans="4:8">
      <c r="D21" t="s">
        <v>118</v>
      </c>
      <c r="E21" t="s">
        <v>119</v>
      </c>
      <c r="H21" t="s">
        <v>120</v>
      </c>
    </row>
    <row r="22" spans="4:8">
      <c r="D22" t="s">
        <v>121</v>
      </c>
      <c r="E22" t="s">
        <v>122</v>
      </c>
      <c r="H22" t="s">
        <v>123</v>
      </c>
    </row>
    <row r="23" spans="4:8">
      <c r="D23" t="s">
        <v>124</v>
      </c>
      <c r="E23" t="s">
        <v>125</v>
      </c>
      <c r="H23" t="s">
        <v>126</v>
      </c>
    </row>
    <row r="24" spans="4:8">
      <c r="D24" t="s">
        <v>127</v>
      </c>
      <c r="E24" t="s">
        <v>128</v>
      </c>
      <c r="H24" t="s">
        <v>129</v>
      </c>
    </row>
    <row r="25" spans="4:8">
      <c r="D25" t="s">
        <v>130</v>
      </c>
      <c r="E25" t="s">
        <v>131</v>
      </c>
      <c r="H25" t="s">
        <v>132</v>
      </c>
    </row>
    <row r="26" spans="4:8">
      <c r="D26" t="s">
        <v>133</v>
      </c>
      <c r="H26" t="s">
        <v>134</v>
      </c>
    </row>
    <row r="27" spans="4:8">
      <c r="D27" t="s">
        <v>135</v>
      </c>
      <c r="H27" t="s">
        <v>136</v>
      </c>
    </row>
    <row r="28" spans="4:8">
      <c r="D28" t="s">
        <v>137</v>
      </c>
      <c r="H28" t="s">
        <v>138</v>
      </c>
    </row>
    <row r="29" spans="4:8">
      <c r="D29" t="s">
        <v>139</v>
      </c>
      <c r="H29" t="s">
        <v>140</v>
      </c>
    </row>
    <row r="30" spans="4:8">
      <c r="D30" t="s">
        <v>141</v>
      </c>
      <c r="H30" t="s">
        <v>142</v>
      </c>
    </row>
    <row r="31" spans="4:8">
      <c r="D31" t="s">
        <v>143</v>
      </c>
      <c r="H31" t="s">
        <v>144</v>
      </c>
    </row>
    <row r="32" spans="4:8">
      <c r="D32" t="s">
        <v>145</v>
      </c>
      <c r="H32" t="s">
        <v>146</v>
      </c>
    </row>
    <row r="33" spans="8:8">
      <c r="H33" t="s">
        <v>147</v>
      </c>
    </row>
    <row r="34" spans="8:8">
      <c r="H34" t="s">
        <v>148</v>
      </c>
    </row>
    <row r="35" spans="8:8">
      <c r="H35" t="s">
        <v>149</v>
      </c>
    </row>
    <row r="36" spans="8:8">
      <c r="H36" t="s">
        <v>150</v>
      </c>
    </row>
    <row r="37" spans="8:8">
      <c r="H37" t="s">
        <v>151</v>
      </c>
    </row>
    <row r="38" spans="8:8">
      <c r="H38" t="s">
        <v>152</v>
      </c>
    </row>
    <row r="39" spans="8:8">
      <c r="H39" t="s">
        <v>153</v>
      </c>
    </row>
    <row r="40" spans="8:8">
      <c r="H40" t="s">
        <v>154</v>
      </c>
    </row>
    <row r="41" spans="8:8">
      <c r="H41" t="s">
        <v>155</v>
      </c>
    </row>
    <row r="42" spans="8:8">
      <c r="H42" t="s">
        <v>156</v>
      </c>
    </row>
    <row r="43" spans="8:8">
      <c r="H43" t="s">
        <v>157</v>
      </c>
    </row>
    <row r="44" spans="8:8">
      <c r="H44" t="s">
        <v>158</v>
      </c>
    </row>
    <row r="45" spans="8:8">
      <c r="H45" t="s">
        <v>159</v>
      </c>
    </row>
    <row r="46" spans="8:8">
      <c r="H46" t="s">
        <v>160</v>
      </c>
    </row>
    <row r="47" spans="8:8">
      <c r="H47" t="s">
        <v>161</v>
      </c>
    </row>
    <row r="48" spans="8:8">
      <c r="H48" t="s">
        <v>162</v>
      </c>
    </row>
    <row r="49" spans="8:8">
      <c r="H49" t="s">
        <v>163</v>
      </c>
    </row>
    <row r="50" spans="8:8">
      <c r="H50" t="s">
        <v>164</v>
      </c>
    </row>
    <row r="51" spans="8:8">
      <c r="H51" t="s">
        <v>165</v>
      </c>
    </row>
    <row r="52" spans="8:8">
      <c r="H52" t="s">
        <v>166</v>
      </c>
    </row>
    <row r="53" spans="8:8">
      <c r="H53" t="s">
        <v>167</v>
      </c>
    </row>
    <row r="54" spans="8:8">
      <c r="H54" t="s">
        <v>168</v>
      </c>
    </row>
    <row r="55" spans="8:8">
      <c r="H55" t="s">
        <v>169</v>
      </c>
    </row>
    <row r="56" spans="8:8">
      <c r="H56" t="s">
        <v>170</v>
      </c>
    </row>
    <row r="57" spans="8:8">
      <c r="H57" t="s">
        <v>171</v>
      </c>
    </row>
    <row r="58" spans="8:8">
      <c r="H58" t="s">
        <v>172</v>
      </c>
    </row>
    <row r="59" spans="8:8">
      <c r="H59" t="s">
        <v>173</v>
      </c>
    </row>
    <row r="60" spans="8:8">
      <c r="H60" t="s">
        <v>174</v>
      </c>
    </row>
    <row r="61" spans="8:8">
      <c r="H61" t="s">
        <v>175</v>
      </c>
    </row>
    <row r="62" spans="8:8">
      <c r="H62" t="s">
        <v>176</v>
      </c>
    </row>
    <row r="63" spans="8:8">
      <c r="H63" t="s">
        <v>177</v>
      </c>
    </row>
    <row r="64" spans="8:8">
      <c r="H64" t="s">
        <v>178</v>
      </c>
    </row>
    <row r="65" spans="8:8">
      <c r="H65" t="s">
        <v>179</v>
      </c>
    </row>
    <row r="66" spans="8:8">
      <c r="H66" t="s">
        <v>180</v>
      </c>
    </row>
    <row r="67" spans="8:8">
      <c r="H67" t="s">
        <v>181</v>
      </c>
    </row>
    <row r="68" spans="8:8">
      <c r="H68" t="s">
        <v>182</v>
      </c>
    </row>
    <row r="69" spans="8:8">
      <c r="H69" t="s">
        <v>183</v>
      </c>
    </row>
    <row r="70" spans="8:8">
      <c r="H70" t="s">
        <v>184</v>
      </c>
    </row>
    <row r="71" spans="8:8">
      <c r="H71" t="s">
        <v>185</v>
      </c>
    </row>
    <row r="72" spans="8:8">
      <c r="H72" t="s">
        <v>186</v>
      </c>
    </row>
    <row r="73" spans="8:8">
      <c r="H73" t="s">
        <v>187</v>
      </c>
    </row>
    <row r="74" spans="8:8">
      <c r="H74" t="s">
        <v>188</v>
      </c>
    </row>
    <row r="75" spans="8:8">
      <c r="H75" t="s">
        <v>189</v>
      </c>
    </row>
    <row r="76" spans="8:8">
      <c r="H76" t="s">
        <v>190</v>
      </c>
    </row>
    <row r="77" spans="8:8">
      <c r="H77" t="s">
        <v>191</v>
      </c>
    </row>
    <row r="78" spans="8:8">
      <c r="H78" t="s">
        <v>192</v>
      </c>
    </row>
    <row r="79" spans="8:8">
      <c r="H79" t="s">
        <v>193</v>
      </c>
    </row>
    <row r="80" spans="8:8">
      <c r="H80" t="s">
        <v>194</v>
      </c>
    </row>
    <row r="81" spans="8:8">
      <c r="H81" t="s">
        <v>195</v>
      </c>
    </row>
    <row r="82" spans="8:8">
      <c r="H82" t="s">
        <v>196</v>
      </c>
    </row>
    <row r="83" spans="8:8">
      <c r="H83" t="s">
        <v>197</v>
      </c>
    </row>
    <row r="84" spans="8:8">
      <c r="H84" t="s">
        <v>198</v>
      </c>
    </row>
    <row r="85" spans="8:8">
      <c r="H85" t="s">
        <v>199</v>
      </c>
    </row>
    <row r="86" spans="8:8">
      <c r="H86" t="s">
        <v>200</v>
      </c>
    </row>
    <row r="87" spans="8:8">
      <c r="H87" t="s">
        <v>201</v>
      </c>
    </row>
    <row r="88" spans="8:8">
      <c r="H88" t="s">
        <v>202</v>
      </c>
    </row>
    <row r="89" spans="8:8">
      <c r="H89" t="s">
        <v>203</v>
      </c>
    </row>
    <row r="90" spans="8:8">
      <c r="H90" t="s">
        <v>204</v>
      </c>
    </row>
    <row r="91" spans="8:8">
      <c r="H91" t="s">
        <v>205</v>
      </c>
    </row>
    <row r="92" spans="8:8">
      <c r="H92" t="s">
        <v>206</v>
      </c>
    </row>
    <row r="93" spans="8:8">
      <c r="H93" t="s">
        <v>207</v>
      </c>
    </row>
    <row r="94" spans="8:8">
      <c r="H94" t="s">
        <v>208</v>
      </c>
    </row>
    <row r="95" spans="8:8">
      <c r="H95" t="s">
        <v>209</v>
      </c>
    </row>
    <row r="96" spans="8:8">
      <c r="H96" t="s">
        <v>210</v>
      </c>
    </row>
    <row r="97" spans="8:8">
      <c r="H97" t="s">
        <v>211</v>
      </c>
    </row>
    <row r="98" spans="8:8">
      <c r="H98" t="s">
        <v>212</v>
      </c>
    </row>
    <row r="99" spans="8:8">
      <c r="H99" t="s">
        <v>213</v>
      </c>
    </row>
    <row r="100" spans="8:8">
      <c r="H100" t="s">
        <v>214</v>
      </c>
    </row>
    <row r="101" spans="8:8">
      <c r="H101" t="s">
        <v>215</v>
      </c>
    </row>
    <row r="102" spans="8:8">
      <c r="H102" t="s">
        <v>216</v>
      </c>
    </row>
    <row r="103" spans="8:8">
      <c r="H103" t="s">
        <v>217</v>
      </c>
    </row>
    <row r="104" spans="8:8">
      <c r="H104" t="s">
        <v>218</v>
      </c>
    </row>
    <row r="105" spans="8:8">
      <c r="H105" t="s">
        <v>219</v>
      </c>
    </row>
    <row r="106" spans="8:8">
      <c r="H106" t="s">
        <v>220</v>
      </c>
    </row>
    <row r="107" spans="8:8">
      <c r="H107" t="s">
        <v>221</v>
      </c>
    </row>
    <row r="108" spans="8:8">
      <c r="H108" t="s">
        <v>222</v>
      </c>
    </row>
    <row r="109" spans="8:8">
      <c r="H109" t="s">
        <v>223</v>
      </c>
    </row>
    <row r="110" spans="8:8">
      <c r="H110" t="s">
        <v>224</v>
      </c>
    </row>
    <row r="111" spans="8:8">
      <c r="H111" t="s">
        <v>225</v>
      </c>
    </row>
    <row r="112" spans="8:8">
      <c r="H112" t="s">
        <v>226</v>
      </c>
    </row>
    <row r="113" spans="8:8">
      <c r="H113" t="s">
        <v>227</v>
      </c>
    </row>
    <row r="114" spans="8:8">
      <c r="H114" t="s">
        <v>228</v>
      </c>
    </row>
    <row r="115" spans="8:8">
      <c r="H115" t="s">
        <v>229</v>
      </c>
    </row>
    <row r="116" spans="8:8">
      <c r="H116" t="s">
        <v>230</v>
      </c>
    </row>
    <row r="117" spans="8:8">
      <c r="H117" t="s">
        <v>231</v>
      </c>
    </row>
    <row r="118" spans="8:8">
      <c r="H118" t="s">
        <v>232</v>
      </c>
    </row>
    <row r="119" spans="8:8">
      <c r="H119" t="s">
        <v>233</v>
      </c>
    </row>
    <row r="120" spans="8:8">
      <c r="H120" t="s">
        <v>234</v>
      </c>
    </row>
    <row r="121" spans="8:8">
      <c r="H121" t="s">
        <v>235</v>
      </c>
    </row>
    <row r="122" spans="8:8">
      <c r="H122" t="s">
        <v>236</v>
      </c>
    </row>
    <row r="123" spans="8:8">
      <c r="H123" t="s">
        <v>237</v>
      </c>
    </row>
    <row r="124" spans="8:8">
      <c r="H124" t="s">
        <v>238</v>
      </c>
    </row>
    <row r="125" spans="8:8">
      <c r="H125" t="s">
        <v>239</v>
      </c>
    </row>
    <row r="126" spans="8:8">
      <c r="H126" t="s">
        <v>240</v>
      </c>
    </row>
    <row r="127" spans="8:8">
      <c r="H127" t="s">
        <v>241</v>
      </c>
    </row>
    <row r="128" spans="8:8">
      <c r="H128" t="s">
        <v>242</v>
      </c>
    </row>
    <row r="129" spans="8:8">
      <c r="H129" t="s">
        <v>243</v>
      </c>
    </row>
    <row r="130" spans="8:8">
      <c r="H130" t="s">
        <v>244</v>
      </c>
    </row>
    <row r="131" spans="8:8">
      <c r="H131" t="s">
        <v>245</v>
      </c>
    </row>
    <row r="132" spans="8:8">
      <c r="H132" t="s">
        <v>246</v>
      </c>
    </row>
    <row r="133" spans="8:8">
      <c r="H133" t="s">
        <v>247</v>
      </c>
    </row>
    <row r="134" spans="8:8">
      <c r="H134" t="s">
        <v>248</v>
      </c>
    </row>
    <row r="135" spans="8:8">
      <c r="H135" t="s">
        <v>249</v>
      </c>
    </row>
    <row r="136" spans="8:8">
      <c r="H136" t="s">
        <v>250</v>
      </c>
    </row>
    <row r="137" spans="8:8">
      <c r="H137" t="s">
        <v>251</v>
      </c>
    </row>
    <row r="138" spans="8:8">
      <c r="H138" t="s">
        <v>252</v>
      </c>
    </row>
    <row r="139" spans="8:8">
      <c r="H139" t="s">
        <v>253</v>
      </c>
    </row>
    <row r="140" spans="8:8">
      <c r="H140" t="s">
        <v>254</v>
      </c>
    </row>
    <row r="141" spans="8:8">
      <c r="H141" t="s">
        <v>255</v>
      </c>
    </row>
    <row r="142" spans="8:8">
      <c r="H142" t="s">
        <v>256</v>
      </c>
    </row>
    <row r="143" spans="8:8">
      <c r="H143" t="s">
        <v>257</v>
      </c>
    </row>
    <row r="144" spans="8:8">
      <c r="H144" t="s">
        <v>258</v>
      </c>
    </row>
    <row r="145" spans="8:8">
      <c r="H145" t="s">
        <v>259</v>
      </c>
    </row>
    <row r="146" spans="8:8">
      <c r="H146" t="s">
        <v>260</v>
      </c>
    </row>
    <row r="147" spans="8:8">
      <c r="H147" t="s">
        <v>261</v>
      </c>
    </row>
    <row r="148" spans="8:8">
      <c r="H148" t="s">
        <v>262</v>
      </c>
    </row>
    <row r="149" spans="8:8">
      <c r="H149" t="s">
        <v>263</v>
      </c>
    </row>
    <row r="150" spans="8:8">
      <c r="H150" t="s">
        <v>264</v>
      </c>
    </row>
    <row r="151" spans="8:8">
      <c r="H151" t="s">
        <v>265</v>
      </c>
    </row>
    <row r="152" spans="8:8">
      <c r="H152" t="s">
        <v>266</v>
      </c>
    </row>
    <row r="153" spans="8:8">
      <c r="H153" t="s">
        <v>267</v>
      </c>
    </row>
    <row r="154" spans="8:8">
      <c r="H154" t="s">
        <v>268</v>
      </c>
    </row>
    <row r="155" spans="8:8">
      <c r="H155" t="s">
        <v>269</v>
      </c>
    </row>
    <row r="156" spans="8:8">
      <c r="H156" t="s">
        <v>270</v>
      </c>
    </row>
    <row r="157" spans="8:8">
      <c r="H157" t="s">
        <v>271</v>
      </c>
    </row>
    <row r="158" spans="8:8">
      <c r="H158" t="s">
        <v>272</v>
      </c>
    </row>
    <row r="159" spans="8:8">
      <c r="H159" t="s">
        <v>273</v>
      </c>
    </row>
    <row r="160" spans="8:8">
      <c r="H160" t="s">
        <v>274</v>
      </c>
    </row>
    <row r="161" spans="8:8">
      <c r="H161" t="s">
        <v>275</v>
      </c>
    </row>
    <row r="162" spans="8:8">
      <c r="H162" t="s">
        <v>276</v>
      </c>
    </row>
    <row r="163" spans="8:8">
      <c r="H163" t="s">
        <v>277</v>
      </c>
    </row>
    <row r="164" spans="8:8">
      <c r="H164" t="s">
        <v>278</v>
      </c>
    </row>
    <row r="165" spans="8:8">
      <c r="H165" t="s">
        <v>279</v>
      </c>
    </row>
    <row r="166" spans="8:8">
      <c r="H166" t="s">
        <v>280</v>
      </c>
    </row>
    <row r="167" spans="8:8">
      <c r="H167" t="s">
        <v>281</v>
      </c>
    </row>
    <row r="168" spans="8:8">
      <c r="H168" t="s">
        <v>282</v>
      </c>
    </row>
    <row r="169" spans="8:8">
      <c r="H169" t="s">
        <v>283</v>
      </c>
    </row>
    <row r="170" spans="8:8">
      <c r="H170" t="s">
        <v>284</v>
      </c>
    </row>
    <row r="171" spans="8:8">
      <c r="H171" t="s">
        <v>285</v>
      </c>
    </row>
    <row r="172" spans="8:8">
      <c r="H172" t="s">
        <v>286</v>
      </c>
    </row>
    <row r="173" spans="8:8">
      <c r="H173" t="s">
        <v>287</v>
      </c>
    </row>
    <row r="174" spans="8:8">
      <c r="H174" t="s">
        <v>288</v>
      </c>
    </row>
    <row r="175" spans="8:8">
      <c r="H175" t="s">
        <v>289</v>
      </c>
    </row>
    <row r="176" spans="8:8">
      <c r="H176" t="s">
        <v>290</v>
      </c>
    </row>
    <row r="177" spans="8:8">
      <c r="H177" t="s">
        <v>291</v>
      </c>
    </row>
    <row r="178" spans="8:8">
      <c r="H178" t="s">
        <v>292</v>
      </c>
    </row>
    <row r="179" spans="8:8">
      <c r="H179" t="s">
        <v>293</v>
      </c>
    </row>
    <row r="180" spans="8:8">
      <c r="H180" t="s">
        <v>294</v>
      </c>
    </row>
    <row r="181" spans="8:8">
      <c r="H181" t="s">
        <v>295</v>
      </c>
    </row>
    <row r="182" spans="8:8">
      <c r="H182" t="s">
        <v>296</v>
      </c>
    </row>
    <row r="183" spans="8:8">
      <c r="H183" t="s">
        <v>297</v>
      </c>
    </row>
    <row r="184" spans="8:8">
      <c r="H184" t="s">
        <v>298</v>
      </c>
    </row>
    <row r="185" spans="8:8">
      <c r="H185" t="s">
        <v>299</v>
      </c>
    </row>
    <row r="186" spans="8:8">
      <c r="H186" t="s">
        <v>300</v>
      </c>
    </row>
    <row r="187" spans="8:8">
      <c r="H187" t="s">
        <v>301</v>
      </c>
    </row>
    <row r="188" spans="8:8">
      <c r="H188" t="s">
        <v>302</v>
      </c>
    </row>
    <row r="189" spans="8:8">
      <c r="H189" t="s">
        <v>303</v>
      </c>
    </row>
    <row r="190" spans="8:8">
      <c r="H190" t="s">
        <v>304</v>
      </c>
    </row>
    <row r="191" spans="8:8">
      <c r="H191" t="s">
        <v>305</v>
      </c>
    </row>
    <row r="192" spans="8:8">
      <c r="H192" t="s">
        <v>306</v>
      </c>
    </row>
    <row r="193" spans="8:8">
      <c r="H193" t="s">
        <v>307</v>
      </c>
    </row>
    <row r="194" spans="8:8">
      <c r="H194" t="s">
        <v>308</v>
      </c>
    </row>
    <row r="195" spans="8:8">
      <c r="H195" t="s">
        <v>309</v>
      </c>
    </row>
    <row r="196" spans="8:8">
      <c r="H196" t="s">
        <v>310</v>
      </c>
    </row>
    <row r="197" spans="8:8">
      <c r="H197" t="s">
        <v>311</v>
      </c>
    </row>
    <row r="198" spans="8:8">
      <c r="H198" t="s">
        <v>312</v>
      </c>
    </row>
    <row r="199" spans="8:8">
      <c r="H199" t="s">
        <v>313</v>
      </c>
    </row>
    <row r="200" spans="8:8">
      <c r="H200" t="s">
        <v>314</v>
      </c>
    </row>
    <row r="201" spans="8:8">
      <c r="H201" t="s">
        <v>315</v>
      </c>
    </row>
    <row r="202" spans="8:8">
      <c r="H202" t="s">
        <v>316</v>
      </c>
    </row>
    <row r="203" spans="8:8">
      <c r="H203" t="s">
        <v>317</v>
      </c>
    </row>
    <row r="204" spans="8:8">
      <c r="H204" t="s">
        <v>318</v>
      </c>
    </row>
    <row r="205" spans="8:8">
      <c r="H205" t="s">
        <v>319</v>
      </c>
    </row>
    <row r="206" spans="8:8">
      <c r="H206" t="s">
        <v>320</v>
      </c>
    </row>
    <row r="207" spans="8:8">
      <c r="H207" t="s">
        <v>321</v>
      </c>
    </row>
    <row r="208" spans="8:8">
      <c r="H208" t="s">
        <v>322</v>
      </c>
    </row>
    <row r="209" spans="8:8">
      <c r="H209" t="s">
        <v>323</v>
      </c>
    </row>
    <row r="210" spans="8:8">
      <c r="H210" t="s">
        <v>324</v>
      </c>
    </row>
    <row r="211" spans="8:8">
      <c r="H211" t="s">
        <v>325</v>
      </c>
    </row>
    <row r="212" spans="8:8">
      <c r="H212" t="s">
        <v>326</v>
      </c>
    </row>
    <row r="213" spans="8:8">
      <c r="H213" t="s">
        <v>327</v>
      </c>
    </row>
    <row r="214" spans="8:8">
      <c r="H214" t="s">
        <v>328</v>
      </c>
    </row>
    <row r="215" spans="8:8">
      <c r="H215" t="s">
        <v>329</v>
      </c>
    </row>
    <row r="216" spans="8:8">
      <c r="H216" t="s">
        <v>330</v>
      </c>
    </row>
    <row r="217" spans="8:8">
      <c r="H217" t="s">
        <v>331</v>
      </c>
    </row>
    <row r="218" spans="8:8">
      <c r="H218" t="s">
        <v>332</v>
      </c>
    </row>
    <row r="219" spans="8:8">
      <c r="H219" t="s">
        <v>333</v>
      </c>
    </row>
    <row r="220" spans="8:8">
      <c r="H220" t="s">
        <v>334</v>
      </c>
    </row>
    <row r="221" spans="8:8">
      <c r="H221" t="s">
        <v>335</v>
      </c>
    </row>
    <row r="222" spans="8:8">
      <c r="H222" t="s">
        <v>336</v>
      </c>
    </row>
    <row r="223" spans="8:8">
      <c r="H223" t="s">
        <v>337</v>
      </c>
    </row>
    <row r="224" spans="8:8">
      <c r="H224" t="s">
        <v>338</v>
      </c>
    </row>
    <row r="225" spans="8:8">
      <c r="H225" t="s">
        <v>339</v>
      </c>
    </row>
    <row r="226" spans="8:8">
      <c r="H226" t="s">
        <v>340</v>
      </c>
    </row>
    <row r="227" spans="8:8">
      <c r="H227" t="s">
        <v>341</v>
      </c>
    </row>
    <row r="228" spans="8:8">
      <c r="H228" t="s">
        <v>342</v>
      </c>
    </row>
    <row r="229" spans="8:8">
      <c r="H229" t="s">
        <v>343</v>
      </c>
    </row>
    <row r="230" spans="8:8">
      <c r="H230" t="s">
        <v>344</v>
      </c>
    </row>
    <row r="231" spans="8:8">
      <c r="H231" t="s">
        <v>345</v>
      </c>
    </row>
    <row r="232" spans="8:8">
      <c r="H232" t="s">
        <v>346</v>
      </c>
    </row>
    <row r="233" spans="8:8">
      <c r="H233" t="s">
        <v>347</v>
      </c>
    </row>
    <row r="234" spans="8:8">
      <c r="H234" t="s">
        <v>348</v>
      </c>
    </row>
    <row r="235" spans="8:8">
      <c r="H235" t="s">
        <v>349</v>
      </c>
    </row>
    <row r="236" spans="8:8">
      <c r="H236" t="s">
        <v>350</v>
      </c>
    </row>
    <row r="237" spans="8:8">
      <c r="H237" t="s">
        <v>351</v>
      </c>
    </row>
    <row r="238" spans="8:8">
      <c r="H238" t="s">
        <v>352</v>
      </c>
    </row>
    <row r="239" spans="8:8">
      <c r="H239" t="s">
        <v>353</v>
      </c>
    </row>
    <row r="240" spans="8:8">
      <c r="H240" t="s">
        <v>354</v>
      </c>
    </row>
    <row r="241" spans="8:8">
      <c r="H241" t="s">
        <v>355</v>
      </c>
    </row>
    <row r="242" spans="8:8">
      <c r="H242" t="s">
        <v>356</v>
      </c>
    </row>
    <row r="243" spans="8:8">
      <c r="H243" t="s">
        <v>357</v>
      </c>
    </row>
    <row r="244" spans="8:8">
      <c r="H244" t="s">
        <v>358</v>
      </c>
    </row>
    <row r="245" spans="8:8">
      <c r="H245" t="s">
        <v>359</v>
      </c>
    </row>
    <row r="246" spans="8:8">
      <c r="H246" t="s">
        <v>360</v>
      </c>
    </row>
    <row r="247" spans="8:8">
      <c r="H247" t="s">
        <v>361</v>
      </c>
    </row>
    <row r="248" spans="8:8">
      <c r="H248" t="s">
        <v>362</v>
      </c>
    </row>
    <row r="249" spans="8:8">
      <c r="H249" t="s">
        <v>363</v>
      </c>
    </row>
    <row r="250" spans="8:8">
      <c r="H250" t="s">
        <v>364</v>
      </c>
    </row>
    <row r="251" spans="8:8">
      <c r="H251" t="s">
        <v>365</v>
      </c>
    </row>
    <row r="252" spans="8:8">
      <c r="H252" t="s">
        <v>366</v>
      </c>
    </row>
    <row r="253" spans="8:8">
      <c r="H253" t="s">
        <v>367</v>
      </c>
    </row>
    <row r="254" spans="8:8">
      <c r="H254" t="s">
        <v>368</v>
      </c>
    </row>
    <row r="255" spans="8:8">
      <c r="H255" t="s">
        <v>369</v>
      </c>
    </row>
    <row r="256" spans="8:8">
      <c r="H256" t="s">
        <v>370</v>
      </c>
    </row>
    <row r="257" spans="8:8">
      <c r="H257" t="s">
        <v>371</v>
      </c>
    </row>
    <row r="258" spans="8:8">
      <c r="H258" t="s">
        <v>372</v>
      </c>
    </row>
    <row r="259" spans="8:8">
      <c r="H259" t="s">
        <v>373</v>
      </c>
    </row>
    <row r="260" spans="8:8">
      <c r="H260" t="s">
        <v>374</v>
      </c>
    </row>
    <row r="261" spans="8:8">
      <c r="H261" t="s">
        <v>375</v>
      </c>
    </row>
    <row r="262" spans="8:8">
      <c r="H262" t="s">
        <v>376</v>
      </c>
    </row>
    <row r="263" spans="8:8">
      <c r="H263" t="s">
        <v>377</v>
      </c>
    </row>
    <row r="264" spans="8:8">
      <c r="H264" t="s">
        <v>378</v>
      </c>
    </row>
    <row r="265" spans="8:8">
      <c r="H265" t="s">
        <v>379</v>
      </c>
    </row>
    <row r="266" spans="8:8">
      <c r="H266" t="s">
        <v>380</v>
      </c>
    </row>
    <row r="267" spans="8:8">
      <c r="H267" t="s">
        <v>381</v>
      </c>
    </row>
    <row r="268" spans="8:8">
      <c r="H268" t="s">
        <v>382</v>
      </c>
    </row>
    <row r="269" spans="8:8">
      <c r="H269" t="s">
        <v>383</v>
      </c>
    </row>
    <row r="270" spans="8:8">
      <c r="H270" t="s">
        <v>384</v>
      </c>
    </row>
    <row r="271" spans="8:8">
      <c r="H271" t="s">
        <v>385</v>
      </c>
    </row>
    <row r="272" spans="8:8">
      <c r="H272" t="s">
        <v>386</v>
      </c>
    </row>
    <row r="273" spans="8:8">
      <c r="H273" t="s">
        <v>387</v>
      </c>
    </row>
    <row r="274" spans="8:8">
      <c r="H274" t="s">
        <v>388</v>
      </c>
    </row>
    <row r="275" spans="8:8">
      <c r="H275" t="s">
        <v>389</v>
      </c>
    </row>
    <row r="276" spans="8:8">
      <c r="H276" t="s">
        <v>390</v>
      </c>
    </row>
    <row r="277" spans="8:8">
      <c r="H277" t="s">
        <v>391</v>
      </c>
    </row>
    <row r="278" spans="8:8">
      <c r="H278" t="s">
        <v>392</v>
      </c>
    </row>
    <row r="279" spans="8:8">
      <c r="H279" t="s">
        <v>393</v>
      </c>
    </row>
    <row r="280" spans="8:8">
      <c r="H280" t="s">
        <v>394</v>
      </c>
    </row>
    <row r="281" spans="8:8">
      <c r="H281" t="s">
        <v>395</v>
      </c>
    </row>
    <row r="282" spans="8:8">
      <c r="H282" t="s">
        <v>396</v>
      </c>
    </row>
    <row r="283" spans="8:8">
      <c r="H283" t="s">
        <v>397</v>
      </c>
    </row>
    <row r="284" spans="8:8">
      <c r="H284" t="s">
        <v>398</v>
      </c>
    </row>
    <row r="285" spans="8:8">
      <c r="H285" t="s">
        <v>399</v>
      </c>
    </row>
    <row r="286" spans="8:8">
      <c r="H286" t="s">
        <v>400</v>
      </c>
    </row>
    <row r="287" spans="8:8">
      <c r="H287" t="s">
        <v>401</v>
      </c>
    </row>
    <row r="288" spans="8:8">
      <c r="H288" t="s">
        <v>402</v>
      </c>
    </row>
    <row r="289" spans="8:8">
      <c r="H289" t="s">
        <v>403</v>
      </c>
    </row>
    <row r="290" spans="8:8">
      <c r="H290" t="s">
        <v>404</v>
      </c>
    </row>
    <row r="291" spans="8:8">
      <c r="H291" t="s">
        <v>405</v>
      </c>
    </row>
    <row r="292" spans="8:8">
      <c r="H292" t="s">
        <v>406</v>
      </c>
    </row>
    <row r="293" spans="8:8">
      <c r="H293" t="s">
        <v>407</v>
      </c>
    </row>
    <row r="294" spans="8:8">
      <c r="H294" t="s">
        <v>408</v>
      </c>
    </row>
    <row r="295" spans="8:8">
      <c r="H295" t="s">
        <v>409</v>
      </c>
    </row>
    <row r="296" spans="8:8">
      <c r="H296" t="s">
        <v>410</v>
      </c>
    </row>
    <row r="297" spans="8:8">
      <c r="H297" t="s">
        <v>411</v>
      </c>
    </row>
    <row r="298" spans="8:8">
      <c r="H298" t="s">
        <v>412</v>
      </c>
    </row>
    <row r="299" spans="8:8">
      <c r="H299" t="s">
        <v>413</v>
      </c>
    </row>
    <row r="300" spans="8:8">
      <c r="H300" t="s">
        <v>414</v>
      </c>
    </row>
    <row r="301" spans="8:8">
      <c r="H301" t="s">
        <v>415</v>
      </c>
    </row>
    <row r="302" spans="8:8">
      <c r="H302" t="s">
        <v>416</v>
      </c>
    </row>
    <row r="303" spans="8:8">
      <c r="H303" t="s">
        <v>417</v>
      </c>
    </row>
    <row r="304" spans="8:8">
      <c r="H304" t="s">
        <v>418</v>
      </c>
    </row>
    <row r="305" spans="8:8">
      <c r="H305" t="s">
        <v>419</v>
      </c>
    </row>
    <row r="306" spans="8:8">
      <c r="H306" t="s">
        <v>420</v>
      </c>
    </row>
    <row r="307" spans="8:8">
      <c r="H307" t="s">
        <v>421</v>
      </c>
    </row>
    <row r="308" spans="8:8">
      <c r="H308" t="s">
        <v>422</v>
      </c>
    </row>
    <row r="309" spans="8:8">
      <c r="H309" t="s">
        <v>423</v>
      </c>
    </row>
    <row r="310" spans="8:8">
      <c r="H310" t="s">
        <v>424</v>
      </c>
    </row>
    <row r="311" spans="8:8">
      <c r="H311" t="s">
        <v>425</v>
      </c>
    </row>
    <row r="312" spans="8:8">
      <c r="H312" t="s">
        <v>426</v>
      </c>
    </row>
    <row r="313" spans="8:8">
      <c r="H313" t="s">
        <v>427</v>
      </c>
    </row>
    <row r="314" spans="8:8">
      <c r="H314" t="s">
        <v>428</v>
      </c>
    </row>
    <row r="315" spans="8:8">
      <c r="H315" t="s">
        <v>429</v>
      </c>
    </row>
    <row r="316" spans="8:8">
      <c r="H316" t="s">
        <v>430</v>
      </c>
    </row>
    <row r="317" spans="8:8">
      <c r="H317" t="s">
        <v>431</v>
      </c>
    </row>
    <row r="318" spans="8:8">
      <c r="H318" t="s">
        <v>432</v>
      </c>
    </row>
    <row r="319" spans="8:8">
      <c r="H319" t="s">
        <v>433</v>
      </c>
    </row>
    <row r="320" spans="8:8">
      <c r="H320" t="s">
        <v>434</v>
      </c>
    </row>
    <row r="321" spans="8:8">
      <c r="H321" t="s">
        <v>435</v>
      </c>
    </row>
    <row r="322" spans="8:8">
      <c r="H322" t="s">
        <v>436</v>
      </c>
    </row>
    <row r="323" spans="8:8">
      <c r="H323" t="s">
        <v>437</v>
      </c>
    </row>
    <row r="324" spans="8:8">
      <c r="H324" t="s">
        <v>438</v>
      </c>
    </row>
    <row r="325" spans="8:8">
      <c r="H325" t="s">
        <v>439</v>
      </c>
    </row>
    <row r="326" spans="8:8">
      <c r="H326" t="s">
        <v>440</v>
      </c>
    </row>
    <row r="327" spans="8:8">
      <c r="H327" t="s">
        <v>441</v>
      </c>
    </row>
    <row r="328" spans="8:8">
      <c r="H328" t="s">
        <v>442</v>
      </c>
    </row>
    <row r="329" spans="8:8">
      <c r="H329" t="s">
        <v>443</v>
      </c>
    </row>
    <row r="330" spans="8:8">
      <c r="H330" t="s">
        <v>444</v>
      </c>
    </row>
    <row r="331" spans="8:8">
      <c r="H331" t="s">
        <v>445</v>
      </c>
    </row>
    <row r="332" spans="8:8">
      <c r="H332" t="s">
        <v>446</v>
      </c>
    </row>
    <row r="333" spans="8:8">
      <c r="H333" t="s">
        <v>447</v>
      </c>
    </row>
    <row r="334" spans="8:8">
      <c r="H334" t="s">
        <v>448</v>
      </c>
    </row>
    <row r="335" spans="8:8">
      <c r="H335" t="s">
        <v>449</v>
      </c>
    </row>
    <row r="336" spans="8:8">
      <c r="H336" t="s">
        <v>450</v>
      </c>
    </row>
    <row r="337" spans="8:8">
      <c r="H337" t="s">
        <v>451</v>
      </c>
    </row>
    <row r="338" spans="8:8">
      <c r="H338" t="s">
        <v>452</v>
      </c>
    </row>
    <row r="339" spans="8:8">
      <c r="H339" t="s">
        <v>453</v>
      </c>
    </row>
    <row r="340" spans="8:8">
      <c r="H340" t="s">
        <v>454</v>
      </c>
    </row>
    <row r="341" spans="8:8">
      <c r="H341" t="s">
        <v>455</v>
      </c>
    </row>
    <row r="342" spans="8:8">
      <c r="H342" t="s">
        <v>456</v>
      </c>
    </row>
    <row r="343" spans="8:8">
      <c r="H343" t="s">
        <v>457</v>
      </c>
    </row>
    <row r="344" spans="8:8">
      <c r="H344" t="s">
        <v>458</v>
      </c>
    </row>
    <row r="345" spans="8:8">
      <c r="H345" t="s">
        <v>459</v>
      </c>
    </row>
    <row r="346" spans="8:8">
      <c r="H346" t="s">
        <v>460</v>
      </c>
    </row>
    <row r="347" spans="8:8">
      <c r="H347" t="s">
        <v>461</v>
      </c>
    </row>
    <row r="348" spans="8:8">
      <c r="H348" t="s">
        <v>462</v>
      </c>
    </row>
    <row r="349" spans="8:8">
      <c r="H349" t="s">
        <v>463</v>
      </c>
    </row>
    <row r="350" spans="8:8">
      <c r="H350" t="s">
        <v>464</v>
      </c>
    </row>
    <row r="351" spans="8:8">
      <c r="H351" t="s">
        <v>465</v>
      </c>
    </row>
    <row r="352" spans="8:8">
      <c r="H352" t="s">
        <v>466</v>
      </c>
    </row>
    <row r="353" spans="8:8">
      <c r="H353" t="s">
        <v>467</v>
      </c>
    </row>
    <row r="354" spans="8:8">
      <c r="H354" t="s">
        <v>468</v>
      </c>
    </row>
    <row r="355" spans="8:8">
      <c r="H355" t="s">
        <v>469</v>
      </c>
    </row>
    <row r="356" spans="8:8">
      <c r="H356" t="s">
        <v>470</v>
      </c>
    </row>
    <row r="357" spans="8:8">
      <c r="H357" t="s">
        <v>471</v>
      </c>
    </row>
    <row r="358" spans="8:8">
      <c r="H358" t="s">
        <v>472</v>
      </c>
    </row>
    <row r="359" spans="8:8">
      <c r="H359" t="s">
        <v>473</v>
      </c>
    </row>
    <row r="360" spans="8:8">
      <c r="H360" t="s">
        <v>474</v>
      </c>
    </row>
    <row r="361" spans="8:8">
      <c r="H361" t="s">
        <v>475</v>
      </c>
    </row>
    <row r="362" spans="8:8">
      <c r="H362" t="s">
        <v>476</v>
      </c>
    </row>
    <row r="363" spans="8:8">
      <c r="H363" t="s">
        <v>477</v>
      </c>
    </row>
    <row r="364" spans="8:8">
      <c r="H364" t="s">
        <v>478</v>
      </c>
    </row>
    <row r="365" spans="8:8">
      <c r="H365" t="s">
        <v>479</v>
      </c>
    </row>
    <row r="366" spans="8:8">
      <c r="H366" t="s">
        <v>480</v>
      </c>
    </row>
    <row r="367" spans="8:8">
      <c r="H367" t="s">
        <v>481</v>
      </c>
    </row>
    <row r="368" spans="8:8">
      <c r="H368" t="s">
        <v>482</v>
      </c>
    </row>
    <row r="369" spans="8:8">
      <c r="H369" t="s">
        <v>483</v>
      </c>
    </row>
    <row r="370" spans="8:8">
      <c r="H370" t="s">
        <v>484</v>
      </c>
    </row>
    <row r="371" spans="8:8">
      <c r="H371" t="s">
        <v>485</v>
      </c>
    </row>
    <row r="372" spans="8:8">
      <c r="H372" t="s">
        <v>486</v>
      </c>
    </row>
    <row r="373" spans="8:8">
      <c r="H373" t="s">
        <v>487</v>
      </c>
    </row>
    <row r="374" spans="8:8">
      <c r="H374" t="s">
        <v>488</v>
      </c>
    </row>
    <row r="375" spans="8:8">
      <c r="H375" t="s">
        <v>489</v>
      </c>
    </row>
    <row r="376" spans="8:8">
      <c r="H376" t="s">
        <v>490</v>
      </c>
    </row>
    <row r="377" spans="8:8">
      <c r="H377" t="s">
        <v>491</v>
      </c>
    </row>
    <row r="378" spans="8:8">
      <c r="H378" t="s">
        <v>492</v>
      </c>
    </row>
    <row r="379" spans="8:8">
      <c r="H379" t="s">
        <v>493</v>
      </c>
    </row>
    <row r="380" spans="8:8">
      <c r="H380" t="s">
        <v>494</v>
      </c>
    </row>
    <row r="381" spans="8:8">
      <c r="H381" t="s">
        <v>495</v>
      </c>
    </row>
    <row r="382" spans="8:8">
      <c r="H382" t="s">
        <v>496</v>
      </c>
    </row>
    <row r="383" spans="8:8">
      <c r="H383" t="s">
        <v>497</v>
      </c>
    </row>
    <row r="384" spans="8:8">
      <c r="H384" t="s">
        <v>498</v>
      </c>
    </row>
    <row r="385" spans="8:8">
      <c r="H385" t="s">
        <v>499</v>
      </c>
    </row>
    <row r="386" spans="8:8">
      <c r="H386" t="s">
        <v>500</v>
      </c>
    </row>
    <row r="387" spans="8:8">
      <c r="H387" t="s">
        <v>501</v>
      </c>
    </row>
    <row r="388" spans="8:8">
      <c r="H388" t="s">
        <v>502</v>
      </c>
    </row>
    <row r="389" spans="8:8">
      <c r="H389" t="s">
        <v>503</v>
      </c>
    </row>
    <row r="390" spans="8:8">
      <c r="H390" t="s">
        <v>504</v>
      </c>
    </row>
    <row r="391" spans="8:8">
      <c r="H391" t="s">
        <v>505</v>
      </c>
    </row>
    <row r="392" spans="8:8">
      <c r="H392" t="s">
        <v>506</v>
      </c>
    </row>
    <row r="393" spans="8:8">
      <c r="H393" t="s">
        <v>507</v>
      </c>
    </row>
    <row r="394" spans="8:8">
      <c r="H394" t="s">
        <v>508</v>
      </c>
    </row>
    <row r="395" spans="8:8">
      <c r="H395" t="s">
        <v>509</v>
      </c>
    </row>
    <row r="396" spans="8:8">
      <c r="H396" t="s">
        <v>510</v>
      </c>
    </row>
    <row r="397" spans="8:8">
      <c r="H397" t="s">
        <v>511</v>
      </c>
    </row>
    <row r="398" spans="8:8">
      <c r="H398" t="s">
        <v>512</v>
      </c>
    </row>
    <row r="399" spans="8:8">
      <c r="H399" t="s">
        <v>513</v>
      </c>
    </row>
    <row r="400" spans="8:8">
      <c r="H400" t="s">
        <v>514</v>
      </c>
    </row>
    <row r="401" spans="8:8">
      <c r="H401" t="s">
        <v>515</v>
      </c>
    </row>
    <row r="402" spans="8:8">
      <c r="H402" t="s">
        <v>516</v>
      </c>
    </row>
    <row r="403" spans="8:8">
      <c r="H403" t="s">
        <v>517</v>
      </c>
    </row>
    <row r="404" spans="8:8">
      <c r="H404" t="s">
        <v>518</v>
      </c>
    </row>
    <row r="405" spans="8:8">
      <c r="H405" t="s">
        <v>519</v>
      </c>
    </row>
    <row r="406" spans="8:8">
      <c r="H406" t="s">
        <v>520</v>
      </c>
    </row>
    <row r="407" spans="8:8">
      <c r="H407" t="s">
        <v>521</v>
      </c>
    </row>
    <row r="408" spans="8:8">
      <c r="H408" t="s">
        <v>522</v>
      </c>
    </row>
    <row r="409" spans="8:8">
      <c r="H409" t="s">
        <v>523</v>
      </c>
    </row>
    <row r="410" spans="8:8">
      <c r="H410" t="s">
        <v>524</v>
      </c>
    </row>
    <row r="411" spans="8:8">
      <c r="H411" t="s">
        <v>525</v>
      </c>
    </row>
    <row r="412" spans="8:8">
      <c r="H412" t="s">
        <v>526</v>
      </c>
    </row>
    <row r="413" spans="8:8">
      <c r="H413" t="s">
        <v>527</v>
      </c>
    </row>
    <row r="414" spans="8:8">
      <c r="H414" t="s">
        <v>528</v>
      </c>
    </row>
    <row r="415" spans="8:8">
      <c r="H415" t="s">
        <v>529</v>
      </c>
    </row>
    <row r="416" spans="8:8">
      <c r="H416" t="s">
        <v>530</v>
      </c>
    </row>
    <row r="417" spans="8:8">
      <c r="H417" t="s">
        <v>531</v>
      </c>
    </row>
    <row r="418" spans="8:8">
      <c r="H418" t="s">
        <v>532</v>
      </c>
    </row>
    <row r="419" spans="8:8">
      <c r="H419" t="s">
        <v>533</v>
      </c>
    </row>
    <row r="420" spans="8:8">
      <c r="H420" t="s">
        <v>534</v>
      </c>
    </row>
    <row r="421" spans="8:8">
      <c r="H421" t="s">
        <v>535</v>
      </c>
    </row>
    <row r="422" spans="8:8">
      <c r="H422" t="s">
        <v>536</v>
      </c>
    </row>
    <row r="423" spans="8:8">
      <c r="H423" t="s">
        <v>537</v>
      </c>
    </row>
    <row r="424" spans="8:8">
      <c r="H424" t="s">
        <v>538</v>
      </c>
    </row>
    <row r="425" spans="8:8">
      <c r="H425" t="s">
        <v>539</v>
      </c>
    </row>
    <row r="426" spans="8:8">
      <c r="H426" t="s">
        <v>540</v>
      </c>
    </row>
    <row r="427" spans="8:8">
      <c r="H427" t="s">
        <v>541</v>
      </c>
    </row>
    <row r="428" spans="8:8">
      <c r="H428" t="s">
        <v>542</v>
      </c>
    </row>
    <row r="429" spans="8:8">
      <c r="H429" t="s">
        <v>543</v>
      </c>
    </row>
    <row r="430" spans="8:8">
      <c r="H430" t="s">
        <v>544</v>
      </c>
    </row>
    <row r="431" spans="8:8">
      <c r="H431" t="s">
        <v>545</v>
      </c>
    </row>
    <row r="432" spans="8:8">
      <c r="H432" t="s">
        <v>546</v>
      </c>
    </row>
    <row r="433" spans="8:8">
      <c r="H433" t="s">
        <v>547</v>
      </c>
    </row>
    <row r="434" spans="8:8">
      <c r="H434" t="s">
        <v>548</v>
      </c>
    </row>
    <row r="435" spans="8:8">
      <c r="H435" t="s">
        <v>549</v>
      </c>
    </row>
    <row r="436" spans="8:8">
      <c r="H436" t="s">
        <v>550</v>
      </c>
    </row>
    <row r="437" spans="8:8">
      <c r="H437" t="s">
        <v>551</v>
      </c>
    </row>
    <row r="438" spans="8:8">
      <c r="H438" t="s">
        <v>552</v>
      </c>
    </row>
    <row r="439" spans="8:8">
      <c r="H439" t="s">
        <v>553</v>
      </c>
    </row>
    <row r="440" spans="8:8">
      <c r="H440" t="s">
        <v>554</v>
      </c>
    </row>
    <row r="441" spans="8:8">
      <c r="H441" t="s">
        <v>555</v>
      </c>
    </row>
    <row r="442" spans="8:8">
      <c r="H442" t="s">
        <v>556</v>
      </c>
    </row>
    <row r="443" spans="8:8">
      <c r="H443" t="s">
        <v>557</v>
      </c>
    </row>
    <row r="444" spans="8:8">
      <c r="H444" t="s">
        <v>558</v>
      </c>
    </row>
    <row r="445" spans="8:8">
      <c r="H445" t="s">
        <v>559</v>
      </c>
    </row>
    <row r="446" spans="8:8">
      <c r="H446" t="s">
        <v>560</v>
      </c>
    </row>
    <row r="447" spans="8:8">
      <c r="H447" t="s">
        <v>561</v>
      </c>
    </row>
    <row r="448" spans="8:8">
      <c r="H448" t="s">
        <v>562</v>
      </c>
    </row>
    <row r="449" spans="8:8">
      <c r="H449" t="s">
        <v>563</v>
      </c>
    </row>
    <row r="450" spans="8:8">
      <c r="H450" t="s">
        <v>564</v>
      </c>
    </row>
    <row r="451" spans="8:8">
      <c r="H451" t="s">
        <v>565</v>
      </c>
    </row>
    <row r="452" spans="8:8">
      <c r="H452" t="s">
        <v>566</v>
      </c>
    </row>
    <row r="453" spans="8:8">
      <c r="H453" t="s">
        <v>567</v>
      </c>
    </row>
    <row r="454" spans="8:8">
      <c r="H454" t="s">
        <v>568</v>
      </c>
    </row>
    <row r="455" spans="8:8">
      <c r="H455" t="s">
        <v>569</v>
      </c>
    </row>
    <row r="456" spans="8:8">
      <c r="H456" t="s">
        <v>570</v>
      </c>
    </row>
    <row r="457" spans="8:8">
      <c r="H457" t="s">
        <v>571</v>
      </c>
    </row>
    <row r="458" spans="8:8">
      <c r="H458" t="s">
        <v>572</v>
      </c>
    </row>
    <row r="459" spans="8:8">
      <c r="H459" t="s">
        <v>573</v>
      </c>
    </row>
    <row r="460" spans="8:8">
      <c r="H460" t="s">
        <v>574</v>
      </c>
    </row>
    <row r="461" spans="8:8">
      <c r="H461" t="s">
        <v>575</v>
      </c>
    </row>
    <row r="462" spans="8:8">
      <c r="H462" t="s">
        <v>576</v>
      </c>
    </row>
    <row r="463" spans="8:8">
      <c r="H463" t="s">
        <v>577</v>
      </c>
    </row>
    <row r="464" spans="8:8">
      <c r="H464" t="s">
        <v>578</v>
      </c>
    </row>
    <row r="465" spans="8:8">
      <c r="H465" t="s">
        <v>579</v>
      </c>
    </row>
    <row r="466" spans="8:8">
      <c r="H466" t="s">
        <v>580</v>
      </c>
    </row>
    <row r="467" spans="8:8">
      <c r="H467" t="s">
        <v>581</v>
      </c>
    </row>
    <row r="468" spans="8:8">
      <c r="H468" t="s">
        <v>582</v>
      </c>
    </row>
    <row r="469" spans="8:8">
      <c r="H469" t="s">
        <v>583</v>
      </c>
    </row>
    <row r="470" spans="8:8">
      <c r="H470" t="s">
        <v>584</v>
      </c>
    </row>
    <row r="471" spans="8:8">
      <c r="H471" t="s">
        <v>585</v>
      </c>
    </row>
    <row r="472" spans="8:8">
      <c r="H472" t="s">
        <v>586</v>
      </c>
    </row>
    <row r="473" spans="8:8">
      <c r="H473" t="s">
        <v>587</v>
      </c>
    </row>
    <row r="474" spans="8:8">
      <c r="H474" t="s">
        <v>588</v>
      </c>
    </row>
    <row r="475" spans="8:8">
      <c r="H475" t="s">
        <v>589</v>
      </c>
    </row>
    <row r="476" spans="8:8">
      <c r="H476" t="s">
        <v>590</v>
      </c>
    </row>
    <row r="477" spans="8:8">
      <c r="H477" t="s">
        <v>591</v>
      </c>
    </row>
    <row r="478" spans="8:8">
      <c r="H478" t="s">
        <v>592</v>
      </c>
    </row>
    <row r="479" spans="8:8">
      <c r="H479" t="s">
        <v>593</v>
      </c>
    </row>
    <row r="480" spans="8:8">
      <c r="H480" t="s">
        <v>594</v>
      </c>
    </row>
    <row r="481" spans="8:8">
      <c r="H481" t="s">
        <v>595</v>
      </c>
    </row>
    <row r="482" spans="8:8">
      <c r="H482" t="s">
        <v>596</v>
      </c>
    </row>
    <row r="483" spans="8:8">
      <c r="H483" t="s">
        <v>597</v>
      </c>
    </row>
    <row r="484" spans="8:8">
      <c r="H484" t="s">
        <v>598</v>
      </c>
    </row>
    <row r="485" spans="8:8">
      <c r="H485" t="s">
        <v>599</v>
      </c>
    </row>
    <row r="486" spans="8:8">
      <c r="H486" t="s">
        <v>600</v>
      </c>
    </row>
    <row r="487" spans="8:8">
      <c r="H487" t="s">
        <v>601</v>
      </c>
    </row>
    <row r="488" spans="8:8">
      <c r="H488" t="s">
        <v>602</v>
      </c>
    </row>
    <row r="489" spans="8:8">
      <c r="H489" t="s">
        <v>603</v>
      </c>
    </row>
    <row r="490" spans="8:8">
      <c r="H490" t="s">
        <v>604</v>
      </c>
    </row>
    <row r="491" spans="8:8">
      <c r="H491" t="s">
        <v>605</v>
      </c>
    </row>
    <row r="492" spans="8:8">
      <c r="H492" t="s">
        <v>606</v>
      </c>
    </row>
    <row r="493" spans="8:8">
      <c r="H493" t="s">
        <v>607</v>
      </c>
    </row>
    <row r="494" spans="8:8">
      <c r="H494" t="s">
        <v>608</v>
      </c>
    </row>
    <row r="495" spans="8:8">
      <c r="H495" t="s">
        <v>609</v>
      </c>
    </row>
    <row r="496" spans="8:8">
      <c r="H496" t="s">
        <v>610</v>
      </c>
    </row>
    <row r="497" spans="8:8">
      <c r="H497" t="s">
        <v>611</v>
      </c>
    </row>
    <row r="498" spans="8:8">
      <c r="H498" t="s">
        <v>612</v>
      </c>
    </row>
    <row r="499" spans="8:8">
      <c r="H499" t="s">
        <v>613</v>
      </c>
    </row>
    <row r="500" spans="8:8">
      <c r="H500" t="s">
        <v>614</v>
      </c>
    </row>
    <row r="501" spans="8:8">
      <c r="H501" t="s">
        <v>615</v>
      </c>
    </row>
    <row r="502" spans="8:8">
      <c r="H502" t="s">
        <v>616</v>
      </c>
    </row>
    <row r="503" spans="8:8">
      <c r="H503" t="s">
        <v>617</v>
      </c>
    </row>
    <row r="504" spans="8:8">
      <c r="H504" t="s">
        <v>618</v>
      </c>
    </row>
    <row r="505" spans="8:8">
      <c r="H505" t="s">
        <v>619</v>
      </c>
    </row>
    <row r="506" spans="8:8">
      <c r="H506" t="s">
        <v>620</v>
      </c>
    </row>
    <row r="507" spans="8:8">
      <c r="H507" t="s">
        <v>621</v>
      </c>
    </row>
    <row r="508" spans="8:8">
      <c r="H508" t="s">
        <v>622</v>
      </c>
    </row>
    <row r="509" spans="8:8">
      <c r="H509" t="s">
        <v>623</v>
      </c>
    </row>
    <row r="510" spans="8:8">
      <c r="H510" t="s">
        <v>624</v>
      </c>
    </row>
    <row r="511" spans="8:8">
      <c r="H511" t="s">
        <v>625</v>
      </c>
    </row>
    <row r="512" spans="8:8">
      <c r="H512" t="s">
        <v>626</v>
      </c>
    </row>
    <row r="513" spans="8:8">
      <c r="H513" t="s">
        <v>627</v>
      </c>
    </row>
    <row r="514" spans="8:8">
      <c r="H514" t="s">
        <v>628</v>
      </c>
    </row>
    <row r="515" spans="8:8">
      <c r="H515" t="s">
        <v>629</v>
      </c>
    </row>
    <row r="516" spans="8:8">
      <c r="H516" t="s">
        <v>630</v>
      </c>
    </row>
    <row r="517" spans="8:8">
      <c r="H517" t="s">
        <v>631</v>
      </c>
    </row>
    <row r="518" spans="8:8">
      <c r="H518" t="s">
        <v>632</v>
      </c>
    </row>
    <row r="519" spans="8:8">
      <c r="H519" t="s">
        <v>633</v>
      </c>
    </row>
    <row r="520" spans="8:8">
      <c r="H520" t="s">
        <v>634</v>
      </c>
    </row>
    <row r="521" spans="8:8">
      <c r="H521" t="s">
        <v>635</v>
      </c>
    </row>
    <row r="522" spans="8:8">
      <c r="H522" t="s">
        <v>636</v>
      </c>
    </row>
    <row r="523" spans="8:8">
      <c r="H523" t="s">
        <v>637</v>
      </c>
    </row>
    <row r="524" spans="8:8">
      <c r="H524" t="s">
        <v>638</v>
      </c>
    </row>
    <row r="525" spans="8:8">
      <c r="H525" t="s">
        <v>639</v>
      </c>
    </row>
    <row r="526" spans="8:8">
      <c r="H526" t="s">
        <v>640</v>
      </c>
    </row>
    <row r="527" spans="8:8">
      <c r="H527" t="s">
        <v>641</v>
      </c>
    </row>
    <row r="528" spans="8:8">
      <c r="H528" t="s">
        <v>642</v>
      </c>
    </row>
    <row r="529" spans="8:8">
      <c r="H529" t="s">
        <v>643</v>
      </c>
    </row>
    <row r="530" spans="8:8">
      <c r="H530" t="s">
        <v>644</v>
      </c>
    </row>
    <row r="531" spans="8:8">
      <c r="H531" t="s">
        <v>645</v>
      </c>
    </row>
    <row r="532" spans="8:8">
      <c r="H532" t="s">
        <v>646</v>
      </c>
    </row>
    <row r="533" spans="8:8">
      <c r="H533" t="s">
        <v>647</v>
      </c>
    </row>
    <row r="534" spans="8:8">
      <c r="H534" t="s">
        <v>648</v>
      </c>
    </row>
    <row r="535" spans="8:8">
      <c r="H535" t="s">
        <v>649</v>
      </c>
    </row>
    <row r="536" spans="8:8">
      <c r="H536" t="s">
        <v>650</v>
      </c>
    </row>
    <row r="537" spans="8:8">
      <c r="H537" t="s">
        <v>651</v>
      </c>
    </row>
    <row r="538" spans="8:8">
      <c r="H538" t="s">
        <v>652</v>
      </c>
    </row>
    <row r="539" spans="8:8">
      <c r="H539" t="s">
        <v>653</v>
      </c>
    </row>
    <row r="540" spans="8:8">
      <c r="H540" t="s">
        <v>654</v>
      </c>
    </row>
    <row r="541" spans="8:8">
      <c r="H541" t="s">
        <v>655</v>
      </c>
    </row>
    <row r="542" spans="8:8">
      <c r="H542" t="s">
        <v>656</v>
      </c>
    </row>
    <row r="543" spans="8:8">
      <c r="H543" t="s">
        <v>657</v>
      </c>
    </row>
    <row r="544" spans="8:8">
      <c r="H544" t="s">
        <v>658</v>
      </c>
    </row>
    <row r="545" spans="8:8">
      <c r="H545" t="s">
        <v>659</v>
      </c>
    </row>
    <row r="546" spans="8:8">
      <c r="H546" t="s">
        <v>660</v>
      </c>
    </row>
    <row r="547" spans="8:8">
      <c r="H547" t="s">
        <v>661</v>
      </c>
    </row>
    <row r="548" spans="8:8">
      <c r="H548" t="s">
        <v>662</v>
      </c>
    </row>
    <row r="549" spans="8:8">
      <c r="H549" t="s">
        <v>663</v>
      </c>
    </row>
    <row r="550" spans="8:8">
      <c r="H550" t="s">
        <v>664</v>
      </c>
    </row>
    <row r="551" spans="8:8">
      <c r="H551" t="s">
        <v>665</v>
      </c>
    </row>
    <row r="552" spans="8:8">
      <c r="H552" t="s">
        <v>666</v>
      </c>
    </row>
    <row r="553" spans="8:8">
      <c r="H553" t="s">
        <v>667</v>
      </c>
    </row>
    <row r="554" spans="8:8">
      <c r="H554" t="s">
        <v>668</v>
      </c>
    </row>
    <row r="555" spans="8:8">
      <c r="H555" t="s">
        <v>669</v>
      </c>
    </row>
    <row r="556" spans="8:8">
      <c r="H556" t="s">
        <v>670</v>
      </c>
    </row>
    <row r="557" spans="8:8">
      <c r="H557" t="s">
        <v>671</v>
      </c>
    </row>
    <row r="558" spans="8:8">
      <c r="H558" t="s">
        <v>672</v>
      </c>
    </row>
    <row r="559" spans="8:8">
      <c r="H559" t="s">
        <v>673</v>
      </c>
    </row>
    <row r="560" spans="8:8">
      <c r="H560" t="s">
        <v>674</v>
      </c>
    </row>
    <row r="561" spans="8:8">
      <c r="H561" t="s">
        <v>675</v>
      </c>
    </row>
    <row r="562" spans="8:8">
      <c r="H562" t="s">
        <v>676</v>
      </c>
    </row>
    <row r="563" spans="8:8">
      <c r="H563" t="s">
        <v>677</v>
      </c>
    </row>
    <row r="564" spans="8:8">
      <c r="H564" t="s">
        <v>678</v>
      </c>
    </row>
    <row r="565" spans="8:8">
      <c r="H565" t="s">
        <v>679</v>
      </c>
    </row>
    <row r="566" spans="8:8">
      <c r="H566" t="s">
        <v>680</v>
      </c>
    </row>
    <row r="567" spans="8:8">
      <c r="H567" t="s">
        <v>681</v>
      </c>
    </row>
    <row r="568" spans="8:8">
      <c r="H568" t="s">
        <v>682</v>
      </c>
    </row>
    <row r="569" spans="8:8">
      <c r="H569" t="s">
        <v>683</v>
      </c>
    </row>
    <row r="570" spans="8:8">
      <c r="H570" t="s">
        <v>684</v>
      </c>
    </row>
    <row r="571" spans="8:8">
      <c r="H571" t="s">
        <v>685</v>
      </c>
    </row>
    <row r="572" spans="8:8">
      <c r="H572" t="s">
        <v>686</v>
      </c>
    </row>
    <row r="573" spans="8:8">
      <c r="H573" t="s">
        <v>687</v>
      </c>
    </row>
    <row r="574" spans="8:8">
      <c r="H574" t="s">
        <v>688</v>
      </c>
    </row>
    <row r="575" spans="8:8">
      <c r="H575" t="s">
        <v>689</v>
      </c>
    </row>
    <row r="576" spans="8:8">
      <c r="H576" t="s">
        <v>690</v>
      </c>
    </row>
    <row r="577" spans="8:8">
      <c r="H577" t="s">
        <v>691</v>
      </c>
    </row>
    <row r="578" spans="8:8">
      <c r="H578" t="s">
        <v>692</v>
      </c>
    </row>
    <row r="579" spans="8:8">
      <c r="H579" t="s">
        <v>693</v>
      </c>
    </row>
    <row r="580" spans="8:8">
      <c r="H580" t="s">
        <v>694</v>
      </c>
    </row>
    <row r="581" spans="8:8">
      <c r="H581" t="s">
        <v>695</v>
      </c>
    </row>
    <row r="582" spans="8:8">
      <c r="H582" t="s">
        <v>696</v>
      </c>
    </row>
    <row r="583" spans="8:8">
      <c r="H583" t="s">
        <v>697</v>
      </c>
    </row>
    <row r="584" spans="8:8">
      <c r="H584" t="s">
        <v>698</v>
      </c>
    </row>
    <row r="585" spans="8:8">
      <c r="H585" t="s">
        <v>699</v>
      </c>
    </row>
    <row r="586" spans="8:8">
      <c r="H586" t="s">
        <v>700</v>
      </c>
    </row>
    <row r="587" spans="8:8">
      <c r="H587" t="s">
        <v>701</v>
      </c>
    </row>
    <row r="588" spans="8:8">
      <c r="H588" t="s">
        <v>702</v>
      </c>
    </row>
    <row r="589" spans="8:8">
      <c r="H589" t="s">
        <v>703</v>
      </c>
    </row>
    <row r="590" spans="8:8">
      <c r="H590" t="s">
        <v>704</v>
      </c>
    </row>
    <row r="591" spans="8:8">
      <c r="H591" t="s">
        <v>705</v>
      </c>
    </row>
    <row r="592" spans="8:8">
      <c r="H592" t="s">
        <v>706</v>
      </c>
    </row>
    <row r="593" spans="8:8">
      <c r="H593" t="s">
        <v>707</v>
      </c>
    </row>
    <row r="594" spans="8:8">
      <c r="H594" t="s">
        <v>708</v>
      </c>
    </row>
    <row r="595" spans="8:8">
      <c r="H595" t="s">
        <v>709</v>
      </c>
    </row>
    <row r="596" spans="8:8">
      <c r="H596" t="s">
        <v>710</v>
      </c>
    </row>
    <row r="597" spans="8:8">
      <c r="H597" t="s">
        <v>711</v>
      </c>
    </row>
    <row r="598" spans="8:8">
      <c r="H598" t="s">
        <v>712</v>
      </c>
    </row>
    <row r="599" spans="8:8">
      <c r="H599" t="s">
        <v>713</v>
      </c>
    </row>
    <row r="600" spans="8:8">
      <c r="H600" t="s">
        <v>714</v>
      </c>
    </row>
    <row r="601" spans="8:8">
      <c r="H601" t="s">
        <v>715</v>
      </c>
    </row>
    <row r="602" spans="8:8">
      <c r="H602" t="s">
        <v>716</v>
      </c>
    </row>
    <row r="603" spans="8:8">
      <c r="H603" t="s">
        <v>717</v>
      </c>
    </row>
    <row r="604" spans="8:8">
      <c r="H604" t="s">
        <v>718</v>
      </c>
    </row>
    <row r="605" spans="8:8">
      <c r="H605" t="s">
        <v>719</v>
      </c>
    </row>
    <row r="606" spans="8:8">
      <c r="H606" t="s">
        <v>720</v>
      </c>
    </row>
    <row r="607" spans="8:8">
      <c r="H607" t="s">
        <v>721</v>
      </c>
    </row>
    <row r="608" spans="8:8">
      <c r="H608" t="s">
        <v>722</v>
      </c>
    </row>
    <row r="609" spans="8:8">
      <c r="H609" t="s">
        <v>723</v>
      </c>
    </row>
    <row r="610" spans="8:8">
      <c r="H610" t="s">
        <v>724</v>
      </c>
    </row>
    <row r="611" spans="8:8">
      <c r="H611" t="s">
        <v>725</v>
      </c>
    </row>
    <row r="612" spans="8:8">
      <c r="H612" t="s">
        <v>726</v>
      </c>
    </row>
    <row r="613" spans="8:8">
      <c r="H613" t="s">
        <v>727</v>
      </c>
    </row>
    <row r="614" spans="8:8">
      <c r="H614" t="s">
        <v>728</v>
      </c>
    </row>
    <row r="615" spans="8:8">
      <c r="H615" t="s">
        <v>729</v>
      </c>
    </row>
    <row r="616" spans="8:8">
      <c r="H616" t="s">
        <v>730</v>
      </c>
    </row>
    <row r="617" spans="8:8">
      <c r="H617" t="s">
        <v>731</v>
      </c>
    </row>
    <row r="618" spans="8:8">
      <c r="H618" t="s">
        <v>732</v>
      </c>
    </row>
    <row r="619" spans="8:8">
      <c r="H619" t="s">
        <v>733</v>
      </c>
    </row>
    <row r="620" spans="8:8">
      <c r="H620" t="s">
        <v>734</v>
      </c>
    </row>
    <row r="621" spans="8:8">
      <c r="H621" t="s">
        <v>735</v>
      </c>
    </row>
    <row r="622" spans="8:8">
      <c r="H622" t="s">
        <v>736</v>
      </c>
    </row>
    <row r="623" spans="8:8">
      <c r="H623" t="s">
        <v>737</v>
      </c>
    </row>
    <row r="624" spans="8:8">
      <c r="H624" t="s">
        <v>738</v>
      </c>
    </row>
    <row r="625" spans="8:8">
      <c r="H625" t="s">
        <v>739</v>
      </c>
    </row>
    <row r="626" spans="8:8">
      <c r="H626" t="s">
        <v>740</v>
      </c>
    </row>
    <row r="627" spans="8:8">
      <c r="H627" t="s">
        <v>741</v>
      </c>
    </row>
    <row r="628" spans="8:8">
      <c r="H628" t="s">
        <v>742</v>
      </c>
    </row>
    <row r="629" spans="8:8">
      <c r="H629" t="s">
        <v>743</v>
      </c>
    </row>
    <row r="630" spans="8:8">
      <c r="H630" t="s">
        <v>744</v>
      </c>
    </row>
    <row r="631" spans="8:8">
      <c r="H631" t="s">
        <v>745</v>
      </c>
    </row>
    <row r="632" spans="8:8">
      <c r="H632" t="s">
        <v>746</v>
      </c>
    </row>
    <row r="633" spans="8:8">
      <c r="H633" t="s">
        <v>747</v>
      </c>
    </row>
    <row r="634" spans="8:8">
      <c r="H634" t="s">
        <v>748</v>
      </c>
    </row>
    <row r="635" spans="8:8">
      <c r="H635" t="s">
        <v>749</v>
      </c>
    </row>
    <row r="636" spans="8:8">
      <c r="H636" t="s">
        <v>750</v>
      </c>
    </row>
    <row r="637" spans="8:8">
      <c r="H637" t="s">
        <v>751</v>
      </c>
    </row>
    <row r="638" spans="8:8">
      <c r="H638" t="s">
        <v>752</v>
      </c>
    </row>
    <row r="639" spans="8:8">
      <c r="H639" t="s">
        <v>753</v>
      </c>
    </row>
    <row r="640" spans="8:8">
      <c r="H640" t="s">
        <v>754</v>
      </c>
    </row>
    <row r="641" spans="8:8">
      <c r="H641" t="s">
        <v>755</v>
      </c>
    </row>
    <row r="642" spans="8:8">
      <c r="H642" t="s">
        <v>756</v>
      </c>
    </row>
    <row r="643" spans="8:8">
      <c r="H643" t="s">
        <v>757</v>
      </c>
    </row>
    <row r="644" spans="8:8">
      <c r="H644" t="s">
        <v>758</v>
      </c>
    </row>
    <row r="645" spans="8:8">
      <c r="H645" t="s">
        <v>759</v>
      </c>
    </row>
    <row r="646" spans="8:8">
      <c r="H646" t="s">
        <v>760</v>
      </c>
    </row>
    <row r="647" spans="8:8">
      <c r="H647" t="s">
        <v>761</v>
      </c>
    </row>
    <row r="648" spans="8:8">
      <c r="H648" t="s">
        <v>762</v>
      </c>
    </row>
    <row r="649" spans="8:8">
      <c r="H649" t="s">
        <v>763</v>
      </c>
    </row>
    <row r="650" spans="8:8">
      <c r="H650" t="s">
        <v>764</v>
      </c>
    </row>
    <row r="651" spans="8:8">
      <c r="H651" t="s">
        <v>765</v>
      </c>
    </row>
    <row r="652" spans="8:8">
      <c r="H652" t="s">
        <v>766</v>
      </c>
    </row>
    <row r="653" spans="8:8">
      <c r="H653" t="s">
        <v>767</v>
      </c>
    </row>
    <row r="654" spans="8:8">
      <c r="H654" t="s">
        <v>768</v>
      </c>
    </row>
    <row r="655" spans="8:8">
      <c r="H655" t="s">
        <v>769</v>
      </c>
    </row>
    <row r="656" spans="8:8">
      <c r="H656" t="s">
        <v>770</v>
      </c>
    </row>
    <row r="657" spans="8:8">
      <c r="H657" t="s">
        <v>771</v>
      </c>
    </row>
    <row r="658" spans="8:8">
      <c r="H658" t="s">
        <v>772</v>
      </c>
    </row>
    <row r="659" spans="8:8">
      <c r="H659" t="s">
        <v>773</v>
      </c>
    </row>
    <row r="660" spans="8:8">
      <c r="H660" t="s">
        <v>774</v>
      </c>
    </row>
    <row r="661" spans="8:8">
      <c r="H661" t="s">
        <v>775</v>
      </c>
    </row>
    <row r="662" spans="8:8">
      <c r="H662" t="s">
        <v>776</v>
      </c>
    </row>
    <row r="663" spans="8:8">
      <c r="H663" t="s">
        <v>777</v>
      </c>
    </row>
    <row r="664" spans="8:8">
      <c r="H664" t="s">
        <v>778</v>
      </c>
    </row>
    <row r="665" spans="8:8">
      <c r="H665" t="s">
        <v>779</v>
      </c>
    </row>
    <row r="666" spans="8:8">
      <c r="H666" t="s">
        <v>780</v>
      </c>
    </row>
    <row r="667" spans="8:8">
      <c r="H667" t="s">
        <v>781</v>
      </c>
    </row>
    <row r="668" spans="8:8">
      <c r="H668" t="s">
        <v>782</v>
      </c>
    </row>
    <row r="669" spans="8:8">
      <c r="H669" t="s">
        <v>783</v>
      </c>
    </row>
    <row r="670" spans="8:8">
      <c r="H670" t="s">
        <v>784</v>
      </c>
    </row>
    <row r="671" spans="8:8">
      <c r="H671" t="s">
        <v>785</v>
      </c>
    </row>
    <row r="672" spans="8:8">
      <c r="H672" t="s">
        <v>786</v>
      </c>
    </row>
    <row r="673" spans="8:8">
      <c r="H673" t="s">
        <v>787</v>
      </c>
    </row>
    <row r="674" spans="8:8">
      <c r="H674" t="s">
        <v>788</v>
      </c>
    </row>
    <row r="675" spans="8:8">
      <c r="H675" t="s">
        <v>789</v>
      </c>
    </row>
    <row r="676" spans="8:8">
      <c r="H676" t="s">
        <v>790</v>
      </c>
    </row>
    <row r="677" spans="8:8">
      <c r="H677" t="s">
        <v>791</v>
      </c>
    </row>
    <row r="678" spans="8:8">
      <c r="H678" t="s">
        <v>792</v>
      </c>
    </row>
    <row r="679" spans="8:8">
      <c r="H679" t="s">
        <v>793</v>
      </c>
    </row>
    <row r="680" spans="8:8">
      <c r="H680" t="s">
        <v>794</v>
      </c>
    </row>
    <row r="681" spans="8:8">
      <c r="H681" t="s">
        <v>795</v>
      </c>
    </row>
    <row r="682" spans="8:8">
      <c r="H682" t="s">
        <v>796</v>
      </c>
    </row>
    <row r="683" spans="8:8">
      <c r="H683" t="s">
        <v>797</v>
      </c>
    </row>
    <row r="684" spans="8:8">
      <c r="H684" t="s">
        <v>798</v>
      </c>
    </row>
    <row r="685" spans="8:8">
      <c r="H685" t="s">
        <v>799</v>
      </c>
    </row>
    <row r="686" spans="8:8">
      <c r="H686" t="s">
        <v>800</v>
      </c>
    </row>
    <row r="687" spans="8:8">
      <c r="H687" t="s">
        <v>801</v>
      </c>
    </row>
    <row r="688" spans="8:8">
      <c r="H688" t="s">
        <v>802</v>
      </c>
    </row>
    <row r="689" spans="8:8">
      <c r="H689" t="s">
        <v>803</v>
      </c>
    </row>
    <row r="690" spans="8:8">
      <c r="H690" t="s">
        <v>804</v>
      </c>
    </row>
    <row r="691" spans="8:8">
      <c r="H691" t="s">
        <v>805</v>
      </c>
    </row>
    <row r="692" spans="8:8">
      <c r="H692" t="s">
        <v>806</v>
      </c>
    </row>
    <row r="693" spans="8:8">
      <c r="H693" t="s">
        <v>807</v>
      </c>
    </row>
    <row r="694" spans="8:8">
      <c r="H694" t="s">
        <v>808</v>
      </c>
    </row>
    <row r="695" spans="8:8">
      <c r="H695" t="s">
        <v>809</v>
      </c>
    </row>
    <row r="696" spans="8:8">
      <c r="H696" t="s">
        <v>810</v>
      </c>
    </row>
    <row r="697" spans="8:8">
      <c r="H697" t="s">
        <v>811</v>
      </c>
    </row>
    <row r="698" spans="8:8">
      <c r="H698" t="s">
        <v>812</v>
      </c>
    </row>
    <row r="699" spans="8:8">
      <c r="H699" t="s">
        <v>813</v>
      </c>
    </row>
    <row r="700" spans="8:8">
      <c r="H700" t="s">
        <v>814</v>
      </c>
    </row>
    <row r="701" spans="8:8">
      <c r="H701" t="s">
        <v>815</v>
      </c>
    </row>
    <row r="702" spans="8:8">
      <c r="H702" t="s">
        <v>816</v>
      </c>
    </row>
    <row r="703" spans="8:8">
      <c r="H703" t="s">
        <v>817</v>
      </c>
    </row>
    <row r="704" spans="8:8">
      <c r="H704" t="s">
        <v>818</v>
      </c>
    </row>
    <row r="705" spans="8:8">
      <c r="H705" t="s">
        <v>819</v>
      </c>
    </row>
    <row r="706" spans="8:8">
      <c r="H706" t="s">
        <v>820</v>
      </c>
    </row>
    <row r="707" spans="8:8">
      <c r="H707" t="s">
        <v>821</v>
      </c>
    </row>
    <row r="708" spans="8:8">
      <c r="H708" t="s">
        <v>822</v>
      </c>
    </row>
    <row r="709" spans="8:8">
      <c r="H709" t="s">
        <v>823</v>
      </c>
    </row>
    <row r="710" spans="8:8">
      <c r="H710" t="s">
        <v>824</v>
      </c>
    </row>
    <row r="711" spans="8:8">
      <c r="H711" t="s">
        <v>825</v>
      </c>
    </row>
    <row r="712" spans="8:8">
      <c r="H712" t="s">
        <v>826</v>
      </c>
    </row>
    <row r="713" spans="8:8">
      <c r="H713" t="s">
        <v>827</v>
      </c>
    </row>
    <row r="714" spans="8:8">
      <c r="H714" t="s">
        <v>828</v>
      </c>
    </row>
    <row r="715" spans="8:8">
      <c r="H715" t="s">
        <v>829</v>
      </c>
    </row>
    <row r="716" spans="8:8">
      <c r="H716" t="s">
        <v>830</v>
      </c>
    </row>
    <row r="717" spans="8:8">
      <c r="H717" t="s">
        <v>831</v>
      </c>
    </row>
    <row r="718" spans="8:8">
      <c r="H718" t="s">
        <v>832</v>
      </c>
    </row>
    <row r="719" spans="8:8">
      <c r="H719" t="s">
        <v>833</v>
      </c>
    </row>
    <row r="720" spans="8:8">
      <c r="H720" t="s">
        <v>834</v>
      </c>
    </row>
    <row r="721" spans="8:8">
      <c r="H721" t="s">
        <v>835</v>
      </c>
    </row>
    <row r="722" spans="8:8">
      <c r="H722" t="s">
        <v>836</v>
      </c>
    </row>
    <row r="723" spans="8:8">
      <c r="H723" t="s">
        <v>837</v>
      </c>
    </row>
    <row r="724" spans="8:8">
      <c r="H724" t="s">
        <v>838</v>
      </c>
    </row>
    <row r="725" spans="8:8">
      <c r="H725" t="s">
        <v>839</v>
      </c>
    </row>
    <row r="726" spans="8:8">
      <c r="H726" t="s">
        <v>840</v>
      </c>
    </row>
    <row r="727" spans="8:8">
      <c r="H727" t="s">
        <v>841</v>
      </c>
    </row>
    <row r="728" spans="8:8">
      <c r="H728" t="s">
        <v>842</v>
      </c>
    </row>
    <row r="729" spans="8:8">
      <c r="H729" t="s">
        <v>843</v>
      </c>
    </row>
    <row r="730" spans="8:8">
      <c r="H730" t="s">
        <v>844</v>
      </c>
    </row>
    <row r="731" spans="8:8">
      <c r="H731" t="s">
        <v>845</v>
      </c>
    </row>
    <row r="732" spans="8:8">
      <c r="H732" t="s">
        <v>846</v>
      </c>
    </row>
    <row r="733" spans="8:8">
      <c r="H733" t="s">
        <v>847</v>
      </c>
    </row>
    <row r="734" spans="8:8">
      <c r="H734" t="s">
        <v>848</v>
      </c>
    </row>
    <row r="735" spans="8:8">
      <c r="H735" t="s">
        <v>849</v>
      </c>
    </row>
    <row r="736" spans="8:8">
      <c r="H736" t="s">
        <v>850</v>
      </c>
    </row>
    <row r="737" spans="8:8">
      <c r="H737" t="s">
        <v>851</v>
      </c>
    </row>
    <row r="738" spans="8:8">
      <c r="H738" t="s">
        <v>852</v>
      </c>
    </row>
    <row r="739" spans="8:8">
      <c r="H739" t="s">
        <v>853</v>
      </c>
    </row>
    <row r="740" spans="8:8">
      <c r="H740" t="s">
        <v>854</v>
      </c>
    </row>
    <row r="741" spans="8:8">
      <c r="H741" t="s">
        <v>855</v>
      </c>
    </row>
    <row r="742" spans="8:8">
      <c r="H742" t="s">
        <v>856</v>
      </c>
    </row>
    <row r="743" spans="8:8">
      <c r="H743" t="s">
        <v>857</v>
      </c>
    </row>
    <row r="744" spans="8:8">
      <c r="H744" t="s">
        <v>858</v>
      </c>
    </row>
    <row r="745" spans="8:8">
      <c r="H745" t="s">
        <v>859</v>
      </c>
    </row>
    <row r="746" spans="8:8">
      <c r="H746" t="s">
        <v>860</v>
      </c>
    </row>
    <row r="747" spans="8:8">
      <c r="H747" t="s">
        <v>861</v>
      </c>
    </row>
    <row r="748" spans="8:8">
      <c r="H748" t="s">
        <v>862</v>
      </c>
    </row>
    <row r="749" spans="8:8">
      <c r="H749" t="s">
        <v>863</v>
      </c>
    </row>
    <row r="750" spans="8:8">
      <c r="H750" t="s">
        <v>864</v>
      </c>
    </row>
    <row r="751" spans="8:8">
      <c r="H751" t="s">
        <v>865</v>
      </c>
    </row>
    <row r="752" spans="8:8">
      <c r="H752" t="s">
        <v>866</v>
      </c>
    </row>
    <row r="753" spans="8:8">
      <c r="H753" t="s">
        <v>867</v>
      </c>
    </row>
    <row r="754" spans="8:8">
      <c r="H754" t="s">
        <v>868</v>
      </c>
    </row>
    <row r="755" spans="8:8">
      <c r="H755" t="s">
        <v>869</v>
      </c>
    </row>
    <row r="756" spans="8:8">
      <c r="H756" t="s">
        <v>870</v>
      </c>
    </row>
    <row r="757" spans="8:8">
      <c r="H757" t="s">
        <v>871</v>
      </c>
    </row>
    <row r="758" spans="8:8">
      <c r="H758" t="s">
        <v>872</v>
      </c>
    </row>
    <row r="759" spans="8:8">
      <c r="H759" t="s">
        <v>873</v>
      </c>
    </row>
    <row r="760" spans="8:8">
      <c r="H760" t="s">
        <v>874</v>
      </c>
    </row>
    <row r="761" spans="8:8">
      <c r="H761" t="s">
        <v>875</v>
      </c>
    </row>
    <row r="762" spans="8:8">
      <c r="H762" t="s">
        <v>876</v>
      </c>
    </row>
    <row r="763" spans="8:8">
      <c r="H763" t="s">
        <v>877</v>
      </c>
    </row>
    <row r="764" spans="8:8">
      <c r="H764" t="s">
        <v>878</v>
      </c>
    </row>
    <row r="765" spans="8:8">
      <c r="H765" t="s">
        <v>879</v>
      </c>
    </row>
    <row r="766" spans="8:8">
      <c r="H766" t="s">
        <v>880</v>
      </c>
    </row>
    <row r="767" spans="8:8">
      <c r="H767" t="s">
        <v>881</v>
      </c>
    </row>
    <row r="768" spans="8:8">
      <c r="H768" t="s">
        <v>882</v>
      </c>
    </row>
    <row r="769" spans="8:8">
      <c r="H769" t="s">
        <v>883</v>
      </c>
    </row>
    <row r="770" spans="8:8">
      <c r="H770" t="s">
        <v>884</v>
      </c>
    </row>
    <row r="771" spans="8:8">
      <c r="H771" t="s">
        <v>885</v>
      </c>
    </row>
    <row r="772" spans="8:8">
      <c r="H772" t="s">
        <v>886</v>
      </c>
    </row>
    <row r="773" spans="8:8">
      <c r="H773" t="s">
        <v>887</v>
      </c>
    </row>
    <row r="774" spans="8:8">
      <c r="H774" t="s">
        <v>888</v>
      </c>
    </row>
    <row r="775" spans="8:8">
      <c r="H775" t="s">
        <v>889</v>
      </c>
    </row>
    <row r="776" spans="8:8">
      <c r="H776" t="s">
        <v>890</v>
      </c>
    </row>
    <row r="777" spans="8:8">
      <c r="H777" t="s">
        <v>891</v>
      </c>
    </row>
    <row r="778" spans="8:8">
      <c r="H778" t="s">
        <v>892</v>
      </c>
    </row>
    <row r="779" spans="8:8">
      <c r="H779" t="s">
        <v>893</v>
      </c>
    </row>
    <row r="780" spans="8:8">
      <c r="H780" t="s">
        <v>894</v>
      </c>
    </row>
    <row r="781" spans="8:8">
      <c r="H781" t="s">
        <v>895</v>
      </c>
    </row>
    <row r="782" spans="8:8">
      <c r="H782" t="s">
        <v>896</v>
      </c>
    </row>
    <row r="783" spans="8:8">
      <c r="H783" t="s">
        <v>897</v>
      </c>
    </row>
    <row r="784" spans="8:8">
      <c r="H784" t="s">
        <v>898</v>
      </c>
    </row>
    <row r="785" spans="8:8">
      <c r="H785" t="s">
        <v>899</v>
      </c>
    </row>
    <row r="786" spans="8:8">
      <c r="H786" t="s">
        <v>900</v>
      </c>
    </row>
    <row r="787" spans="8:8">
      <c r="H787" t="s">
        <v>901</v>
      </c>
    </row>
    <row r="788" spans="8:8">
      <c r="H788" t="s">
        <v>902</v>
      </c>
    </row>
    <row r="789" spans="8:8">
      <c r="H789" t="s">
        <v>903</v>
      </c>
    </row>
    <row r="790" spans="8:8">
      <c r="H790" t="s">
        <v>904</v>
      </c>
    </row>
    <row r="791" spans="8:8">
      <c r="H791" t="s">
        <v>905</v>
      </c>
    </row>
    <row r="792" spans="8:8">
      <c r="H792" t="s">
        <v>906</v>
      </c>
    </row>
    <row r="793" spans="8:8">
      <c r="H793" t="s">
        <v>907</v>
      </c>
    </row>
    <row r="794" spans="8:8">
      <c r="H794" t="s">
        <v>908</v>
      </c>
    </row>
    <row r="795" spans="8:8">
      <c r="H795" t="s">
        <v>909</v>
      </c>
    </row>
    <row r="796" spans="8:8">
      <c r="H796" t="s">
        <v>910</v>
      </c>
    </row>
    <row r="797" spans="8:8">
      <c r="H797" t="s">
        <v>911</v>
      </c>
    </row>
    <row r="798" spans="8:8">
      <c r="H798" t="s">
        <v>912</v>
      </c>
    </row>
    <row r="799" spans="8:8">
      <c r="H799" t="s">
        <v>913</v>
      </c>
    </row>
    <row r="800" spans="8:8">
      <c r="H800" t="s">
        <v>914</v>
      </c>
    </row>
    <row r="801" spans="8:8">
      <c r="H801" t="s">
        <v>915</v>
      </c>
    </row>
    <row r="802" spans="8:8">
      <c r="H802" t="s">
        <v>916</v>
      </c>
    </row>
    <row r="803" spans="8:8">
      <c r="H803" t="s">
        <v>917</v>
      </c>
    </row>
    <row r="804" spans="8:8">
      <c r="H804" t="s">
        <v>918</v>
      </c>
    </row>
    <row r="805" spans="8:8">
      <c r="H805" t="s">
        <v>919</v>
      </c>
    </row>
    <row r="806" spans="8:8">
      <c r="H806" t="s">
        <v>920</v>
      </c>
    </row>
    <row r="807" spans="8:8">
      <c r="H807" t="s">
        <v>921</v>
      </c>
    </row>
    <row r="808" spans="8:8">
      <c r="H808" t="s">
        <v>922</v>
      </c>
    </row>
    <row r="809" spans="8:8">
      <c r="H809" t="s">
        <v>923</v>
      </c>
    </row>
    <row r="810" spans="8:8">
      <c r="H810" t="s">
        <v>924</v>
      </c>
    </row>
    <row r="811" spans="8:8">
      <c r="H811" t="s">
        <v>925</v>
      </c>
    </row>
    <row r="812" spans="8:8">
      <c r="H812" t="s">
        <v>926</v>
      </c>
    </row>
    <row r="813" spans="8:8">
      <c r="H813" t="s">
        <v>927</v>
      </c>
    </row>
    <row r="814" spans="8:8">
      <c r="H814" t="s">
        <v>928</v>
      </c>
    </row>
    <row r="815" spans="8:8">
      <c r="H815" t="s">
        <v>929</v>
      </c>
    </row>
    <row r="816" spans="8:8">
      <c r="H816" t="s">
        <v>930</v>
      </c>
    </row>
    <row r="817" spans="8:8">
      <c r="H817" t="s">
        <v>931</v>
      </c>
    </row>
    <row r="818" spans="8:8">
      <c r="H818" t="s">
        <v>932</v>
      </c>
    </row>
    <row r="819" spans="8:8">
      <c r="H819" t="s">
        <v>933</v>
      </c>
    </row>
    <row r="820" spans="8:8">
      <c r="H820" t="s">
        <v>934</v>
      </c>
    </row>
    <row r="821" spans="8:8">
      <c r="H821" t="s">
        <v>935</v>
      </c>
    </row>
    <row r="822" spans="8:8">
      <c r="H822" t="s">
        <v>936</v>
      </c>
    </row>
    <row r="823" spans="8:8">
      <c r="H823" t="s">
        <v>937</v>
      </c>
    </row>
    <row r="824" spans="8:8">
      <c r="H824" t="s">
        <v>938</v>
      </c>
    </row>
    <row r="825" spans="8:8">
      <c r="H825" t="s">
        <v>939</v>
      </c>
    </row>
    <row r="826" spans="8:8">
      <c r="H826" t="s">
        <v>940</v>
      </c>
    </row>
    <row r="827" spans="8:8">
      <c r="H827" t="s">
        <v>941</v>
      </c>
    </row>
    <row r="828" spans="8:8">
      <c r="H828" t="s">
        <v>942</v>
      </c>
    </row>
    <row r="829" spans="8:8">
      <c r="H829" t="s">
        <v>943</v>
      </c>
    </row>
    <row r="830" spans="8:8">
      <c r="H830" t="s">
        <v>944</v>
      </c>
    </row>
    <row r="831" spans="8:8">
      <c r="H831" t="s">
        <v>945</v>
      </c>
    </row>
    <row r="832" spans="8:8">
      <c r="H832" t="s">
        <v>946</v>
      </c>
    </row>
    <row r="833" spans="8:8">
      <c r="H833" t="s">
        <v>947</v>
      </c>
    </row>
    <row r="834" spans="8:8">
      <c r="H834" t="s">
        <v>948</v>
      </c>
    </row>
    <row r="835" spans="8:8">
      <c r="H835" t="s">
        <v>949</v>
      </c>
    </row>
    <row r="836" spans="8:8">
      <c r="H836" t="s">
        <v>950</v>
      </c>
    </row>
    <row r="837" spans="8:8">
      <c r="H837" t="s">
        <v>951</v>
      </c>
    </row>
    <row r="838" spans="8:8">
      <c r="H838" t="s">
        <v>952</v>
      </c>
    </row>
    <row r="839" spans="8:8">
      <c r="H839" t="s">
        <v>953</v>
      </c>
    </row>
    <row r="840" spans="8:8">
      <c r="H840" t="s">
        <v>954</v>
      </c>
    </row>
    <row r="841" spans="8:8">
      <c r="H841" t="s">
        <v>955</v>
      </c>
    </row>
    <row r="842" spans="8:8">
      <c r="H842" t="s">
        <v>956</v>
      </c>
    </row>
    <row r="843" spans="8:8">
      <c r="H843" t="s">
        <v>957</v>
      </c>
    </row>
    <row r="844" spans="8:8">
      <c r="H844" t="s">
        <v>958</v>
      </c>
    </row>
    <row r="845" spans="8:8">
      <c r="H845" t="s">
        <v>959</v>
      </c>
    </row>
    <row r="846" spans="8:8">
      <c r="H846" t="s">
        <v>960</v>
      </c>
    </row>
    <row r="847" spans="8:8">
      <c r="H847" t="s">
        <v>961</v>
      </c>
    </row>
    <row r="848" spans="8:8">
      <c r="H848" t="s">
        <v>962</v>
      </c>
    </row>
    <row r="849" spans="8:8">
      <c r="H849" t="s">
        <v>963</v>
      </c>
    </row>
    <row r="850" spans="8:8">
      <c r="H850" t="s">
        <v>964</v>
      </c>
    </row>
    <row r="851" spans="8:8">
      <c r="H851" t="s">
        <v>965</v>
      </c>
    </row>
    <row r="852" spans="8:8">
      <c r="H852" t="s">
        <v>966</v>
      </c>
    </row>
    <row r="853" spans="8:8">
      <c r="H853" t="s">
        <v>967</v>
      </c>
    </row>
    <row r="854" spans="8:8">
      <c r="H854" t="s">
        <v>968</v>
      </c>
    </row>
    <row r="855" spans="8:8">
      <c r="H855" t="s">
        <v>969</v>
      </c>
    </row>
    <row r="856" spans="8:8">
      <c r="H856" t="s">
        <v>970</v>
      </c>
    </row>
    <row r="857" spans="8:8">
      <c r="H857" t="s">
        <v>971</v>
      </c>
    </row>
    <row r="858" spans="8:8">
      <c r="H858" t="s">
        <v>972</v>
      </c>
    </row>
    <row r="859" spans="8:8">
      <c r="H859" t="s">
        <v>973</v>
      </c>
    </row>
    <row r="860" spans="8:8">
      <c r="H860" t="s">
        <v>974</v>
      </c>
    </row>
    <row r="861" spans="8:8">
      <c r="H861" t="s">
        <v>975</v>
      </c>
    </row>
    <row r="862" spans="8:8">
      <c r="H862" t="s">
        <v>976</v>
      </c>
    </row>
    <row r="863" spans="8:8">
      <c r="H863" t="s">
        <v>977</v>
      </c>
    </row>
    <row r="864" spans="8:8">
      <c r="H864" t="s">
        <v>978</v>
      </c>
    </row>
    <row r="865" spans="8:8">
      <c r="H865" t="s">
        <v>979</v>
      </c>
    </row>
    <row r="866" spans="8:8">
      <c r="H866" t="s">
        <v>980</v>
      </c>
    </row>
    <row r="867" spans="8:8">
      <c r="H867" t="s">
        <v>981</v>
      </c>
    </row>
    <row r="868" spans="8:8">
      <c r="H868" t="s">
        <v>982</v>
      </c>
    </row>
    <row r="869" spans="8:8">
      <c r="H869" t="s">
        <v>983</v>
      </c>
    </row>
    <row r="870" spans="8:8">
      <c r="H870" t="s">
        <v>984</v>
      </c>
    </row>
    <row r="871" spans="8:8">
      <c r="H871" t="s">
        <v>985</v>
      </c>
    </row>
    <row r="872" spans="8:8">
      <c r="H872" t="s">
        <v>986</v>
      </c>
    </row>
    <row r="873" spans="8:8">
      <c r="H873" t="s">
        <v>987</v>
      </c>
    </row>
    <row r="874" spans="8:8">
      <c r="H874" t="s">
        <v>988</v>
      </c>
    </row>
    <row r="875" spans="8:8">
      <c r="H875" t="s">
        <v>989</v>
      </c>
    </row>
    <row r="876" spans="8:8">
      <c r="H876" t="s">
        <v>990</v>
      </c>
    </row>
    <row r="877" spans="8:8">
      <c r="H877" t="s">
        <v>991</v>
      </c>
    </row>
    <row r="878" spans="8:8">
      <c r="H878" t="s">
        <v>992</v>
      </c>
    </row>
    <row r="879" spans="8:8">
      <c r="H879" t="s">
        <v>993</v>
      </c>
    </row>
    <row r="880" spans="8:8">
      <c r="H880" t="s">
        <v>994</v>
      </c>
    </row>
    <row r="881" spans="8:8">
      <c r="H881" t="s">
        <v>995</v>
      </c>
    </row>
    <row r="882" spans="8:8">
      <c r="H882" t="s">
        <v>996</v>
      </c>
    </row>
    <row r="883" spans="8:8">
      <c r="H883" t="s">
        <v>997</v>
      </c>
    </row>
    <row r="884" spans="8:8">
      <c r="H884" t="s">
        <v>998</v>
      </c>
    </row>
    <row r="885" spans="8:8">
      <c r="H885" t="s">
        <v>999</v>
      </c>
    </row>
    <row r="886" spans="8:8">
      <c r="H886" t="s">
        <v>1000</v>
      </c>
    </row>
    <row r="887" spans="8:8">
      <c r="H887" t="s">
        <v>1001</v>
      </c>
    </row>
    <row r="888" spans="8:8">
      <c r="H888" t="s">
        <v>1002</v>
      </c>
    </row>
    <row r="889" spans="8:8">
      <c r="H889" t="s">
        <v>1003</v>
      </c>
    </row>
    <row r="890" spans="8:8">
      <c r="H890" t="s">
        <v>1004</v>
      </c>
    </row>
    <row r="891" spans="8:8">
      <c r="H891" t="s">
        <v>1005</v>
      </c>
    </row>
    <row r="892" spans="8:8">
      <c r="H892" t="s">
        <v>1006</v>
      </c>
    </row>
    <row r="893" spans="8:8">
      <c r="H893" t="s">
        <v>1007</v>
      </c>
    </row>
    <row r="894" spans="8:8">
      <c r="H894" t="s">
        <v>1008</v>
      </c>
    </row>
    <row r="895" spans="8:8">
      <c r="H895" t="s">
        <v>1009</v>
      </c>
    </row>
    <row r="896" spans="8:8">
      <c r="H896" t="s">
        <v>1010</v>
      </c>
    </row>
    <row r="897" spans="8:8">
      <c r="H897" t="s">
        <v>1011</v>
      </c>
    </row>
    <row r="898" spans="8:8">
      <c r="H898" t="s">
        <v>1012</v>
      </c>
    </row>
    <row r="899" spans="8:8">
      <c r="H899" t="s">
        <v>1013</v>
      </c>
    </row>
    <row r="900" spans="8:8">
      <c r="H900" t="s">
        <v>1014</v>
      </c>
    </row>
    <row r="901" spans="8:8">
      <c r="H901" t="s">
        <v>1015</v>
      </c>
    </row>
    <row r="902" spans="8:8">
      <c r="H902" t="s">
        <v>1016</v>
      </c>
    </row>
    <row r="903" spans="8:8">
      <c r="H903" t="s">
        <v>1017</v>
      </c>
    </row>
    <row r="904" spans="8:8">
      <c r="H904" t="s">
        <v>1018</v>
      </c>
    </row>
    <row r="905" spans="8:8">
      <c r="H905" t="s">
        <v>1019</v>
      </c>
    </row>
    <row r="906" spans="8:8">
      <c r="H906" t="s">
        <v>1020</v>
      </c>
    </row>
    <row r="907" spans="8:8">
      <c r="H907" t="s">
        <v>1021</v>
      </c>
    </row>
    <row r="908" spans="8:8">
      <c r="H908" t="s">
        <v>1022</v>
      </c>
    </row>
    <row r="909" spans="8:8">
      <c r="H909" t="s">
        <v>1023</v>
      </c>
    </row>
    <row r="910" spans="8:8">
      <c r="H910" t="s">
        <v>1024</v>
      </c>
    </row>
    <row r="911" spans="8:8">
      <c r="H911" t="s">
        <v>1025</v>
      </c>
    </row>
    <row r="912" spans="8:8">
      <c r="H912" t="s">
        <v>1026</v>
      </c>
    </row>
    <row r="913" spans="8:8">
      <c r="H913" t="s">
        <v>1027</v>
      </c>
    </row>
    <row r="914" spans="8:8">
      <c r="H914" t="s">
        <v>1028</v>
      </c>
    </row>
    <row r="915" spans="8:8">
      <c r="H915" t="s">
        <v>1029</v>
      </c>
    </row>
    <row r="916" spans="8:8">
      <c r="H916" t="s">
        <v>1030</v>
      </c>
    </row>
    <row r="917" spans="8:8">
      <c r="H917" t="s">
        <v>1031</v>
      </c>
    </row>
    <row r="918" spans="8:8">
      <c r="H918" t="s">
        <v>1032</v>
      </c>
    </row>
    <row r="919" spans="8:8">
      <c r="H919" t="s">
        <v>1033</v>
      </c>
    </row>
    <row r="920" spans="8:8">
      <c r="H920" t="s">
        <v>1034</v>
      </c>
    </row>
    <row r="921" spans="8:8">
      <c r="H921" t="s">
        <v>1035</v>
      </c>
    </row>
    <row r="922" spans="8:8">
      <c r="H922" t="s">
        <v>1036</v>
      </c>
    </row>
    <row r="923" spans="8:8">
      <c r="H923" t="s">
        <v>1037</v>
      </c>
    </row>
    <row r="924" spans="8:8">
      <c r="H924" t="s">
        <v>1038</v>
      </c>
    </row>
    <row r="925" spans="8:8">
      <c r="H925" t="s">
        <v>1039</v>
      </c>
    </row>
    <row r="926" spans="8:8">
      <c r="H926" t="s">
        <v>1040</v>
      </c>
    </row>
    <row r="927" spans="8:8">
      <c r="H927" t="s">
        <v>1041</v>
      </c>
    </row>
    <row r="928" spans="8:8">
      <c r="H928" t="s">
        <v>1042</v>
      </c>
    </row>
    <row r="929" spans="8:8">
      <c r="H929" t="s">
        <v>1043</v>
      </c>
    </row>
    <row r="930" spans="8:8">
      <c r="H930" t="s">
        <v>1044</v>
      </c>
    </row>
    <row r="931" spans="8:8">
      <c r="H931" t="s">
        <v>1045</v>
      </c>
    </row>
    <row r="932" spans="8:8">
      <c r="H932" t="s">
        <v>1046</v>
      </c>
    </row>
    <row r="933" spans="8:8">
      <c r="H933" t="s">
        <v>1047</v>
      </c>
    </row>
    <row r="934" spans="8:8">
      <c r="H934" t="s">
        <v>1048</v>
      </c>
    </row>
    <row r="935" spans="8:8">
      <c r="H935" t="s">
        <v>1049</v>
      </c>
    </row>
    <row r="936" spans="8:8">
      <c r="H936" t="s">
        <v>1050</v>
      </c>
    </row>
    <row r="937" spans="8:8">
      <c r="H937" t="s">
        <v>1051</v>
      </c>
    </row>
    <row r="938" spans="8:8">
      <c r="H938" t="s">
        <v>1052</v>
      </c>
    </row>
    <row r="939" spans="8:8">
      <c r="H939" t="s">
        <v>1053</v>
      </c>
    </row>
    <row r="940" spans="8:8">
      <c r="H940" t="s">
        <v>1054</v>
      </c>
    </row>
    <row r="941" spans="8:8">
      <c r="H941" t="s">
        <v>1055</v>
      </c>
    </row>
    <row r="942" spans="8:8">
      <c r="H942" t="s">
        <v>1056</v>
      </c>
    </row>
    <row r="943" spans="8:8">
      <c r="H943" t="s">
        <v>1057</v>
      </c>
    </row>
    <row r="944" spans="8:8">
      <c r="H944" t="s">
        <v>1058</v>
      </c>
    </row>
    <row r="945" spans="8:8">
      <c r="H945" t="s">
        <v>1059</v>
      </c>
    </row>
    <row r="946" spans="8:8">
      <c r="H946" t="s">
        <v>1060</v>
      </c>
    </row>
    <row r="947" spans="8:8">
      <c r="H947" t="s">
        <v>1061</v>
      </c>
    </row>
    <row r="948" spans="8:8">
      <c r="H948" t="s">
        <v>1062</v>
      </c>
    </row>
    <row r="949" spans="8:8">
      <c r="H949" t="s">
        <v>1063</v>
      </c>
    </row>
    <row r="950" spans="8:8">
      <c r="H950" t="s">
        <v>1064</v>
      </c>
    </row>
    <row r="951" spans="8:8">
      <c r="H951" t="s">
        <v>1065</v>
      </c>
    </row>
    <row r="952" spans="8:8">
      <c r="H952" t="s">
        <v>1066</v>
      </c>
    </row>
    <row r="953" spans="8:8">
      <c r="H953" t="s">
        <v>1067</v>
      </c>
    </row>
    <row r="954" spans="8:8">
      <c r="H954" t="s">
        <v>1068</v>
      </c>
    </row>
    <row r="955" spans="8:8">
      <c r="H955" t="s">
        <v>1069</v>
      </c>
    </row>
    <row r="956" spans="8:8">
      <c r="H956" t="s">
        <v>1070</v>
      </c>
    </row>
    <row r="957" spans="8:8">
      <c r="H957" t="s">
        <v>1071</v>
      </c>
    </row>
    <row r="958" spans="8:8">
      <c r="H958" t="s">
        <v>1072</v>
      </c>
    </row>
    <row r="959" spans="8:8">
      <c r="H959" t="s">
        <v>1073</v>
      </c>
    </row>
    <row r="960" spans="8:8">
      <c r="H960" t="s">
        <v>1074</v>
      </c>
    </row>
    <row r="961" spans="8:8">
      <c r="H961" t="s">
        <v>1075</v>
      </c>
    </row>
    <row r="962" spans="8:8">
      <c r="H962" t="s">
        <v>1076</v>
      </c>
    </row>
    <row r="963" spans="8:8">
      <c r="H963" t="s">
        <v>1077</v>
      </c>
    </row>
    <row r="964" spans="8:8">
      <c r="H964" t="s">
        <v>1078</v>
      </c>
    </row>
    <row r="965" spans="8:8">
      <c r="H965" t="s">
        <v>1079</v>
      </c>
    </row>
    <row r="966" spans="8:8">
      <c r="H966" t="s">
        <v>1080</v>
      </c>
    </row>
    <row r="967" spans="8:8">
      <c r="H967" t="s">
        <v>1081</v>
      </c>
    </row>
    <row r="968" spans="8:8">
      <c r="H968" t="s">
        <v>1082</v>
      </c>
    </row>
    <row r="969" spans="8:8">
      <c r="H969" t="s">
        <v>1083</v>
      </c>
    </row>
    <row r="970" spans="8:8">
      <c r="H970" t="s">
        <v>1084</v>
      </c>
    </row>
    <row r="971" spans="8:8">
      <c r="H971" t="s">
        <v>1085</v>
      </c>
    </row>
    <row r="972" spans="8:8">
      <c r="H972" t="s">
        <v>1086</v>
      </c>
    </row>
    <row r="973" spans="8:8">
      <c r="H973" t="s">
        <v>1087</v>
      </c>
    </row>
    <row r="974" spans="8:8">
      <c r="H974" t="s">
        <v>1088</v>
      </c>
    </row>
    <row r="975" spans="8:8">
      <c r="H975" t="s">
        <v>1089</v>
      </c>
    </row>
    <row r="976" spans="8:8">
      <c r="H976" t="s">
        <v>1090</v>
      </c>
    </row>
    <row r="977" spans="8:8">
      <c r="H977" t="s">
        <v>1091</v>
      </c>
    </row>
    <row r="978" spans="8:8">
      <c r="H978" t="s">
        <v>1092</v>
      </c>
    </row>
    <row r="979" spans="8:8">
      <c r="H979" t="s">
        <v>1093</v>
      </c>
    </row>
    <row r="980" spans="8:8">
      <c r="H980" t="s">
        <v>1094</v>
      </c>
    </row>
    <row r="981" spans="8:8">
      <c r="H981" t="s">
        <v>1095</v>
      </c>
    </row>
    <row r="982" spans="8:8">
      <c r="H982" t="s">
        <v>1096</v>
      </c>
    </row>
    <row r="983" spans="8:8">
      <c r="H983" t="s">
        <v>1097</v>
      </c>
    </row>
    <row r="984" spans="8:8">
      <c r="H984" t="s">
        <v>1098</v>
      </c>
    </row>
    <row r="985" spans="8:8">
      <c r="H985" t="s">
        <v>1099</v>
      </c>
    </row>
    <row r="986" spans="8:8">
      <c r="H986" t="s">
        <v>1100</v>
      </c>
    </row>
    <row r="987" spans="8:8">
      <c r="H987" t="s">
        <v>1101</v>
      </c>
    </row>
    <row r="988" spans="8:8">
      <c r="H988" t="s">
        <v>1102</v>
      </c>
    </row>
    <row r="989" spans="8:8">
      <c r="H989" t="s">
        <v>1103</v>
      </c>
    </row>
    <row r="990" spans="8:8">
      <c r="H990" t="s">
        <v>1104</v>
      </c>
    </row>
    <row r="991" spans="8:8">
      <c r="H991" t="s">
        <v>1105</v>
      </c>
    </row>
    <row r="992" spans="8:8">
      <c r="H992" t="s">
        <v>1106</v>
      </c>
    </row>
    <row r="993" spans="8:8">
      <c r="H993" t="s">
        <v>1107</v>
      </c>
    </row>
    <row r="994" spans="8:8">
      <c r="H994" t="s">
        <v>1108</v>
      </c>
    </row>
    <row r="995" spans="8:8">
      <c r="H995" t="s">
        <v>1109</v>
      </c>
    </row>
    <row r="996" spans="8:8">
      <c r="H996" t="s">
        <v>1110</v>
      </c>
    </row>
    <row r="997" spans="8:8">
      <c r="H997" t="s">
        <v>1111</v>
      </c>
    </row>
    <row r="998" spans="8:8">
      <c r="H998" t="s">
        <v>1112</v>
      </c>
    </row>
    <row r="999" spans="8:8">
      <c r="H999" t="s">
        <v>1113</v>
      </c>
    </row>
    <row r="1000" spans="8:8">
      <c r="H1000" t="s">
        <v>1114</v>
      </c>
    </row>
    <row r="1001" spans="8:8">
      <c r="H1001" t="s">
        <v>1115</v>
      </c>
    </row>
    <row r="1002" spans="8:8">
      <c r="H1002" t="s">
        <v>1116</v>
      </c>
    </row>
    <row r="1003" spans="8:8">
      <c r="H1003" t="s">
        <v>1117</v>
      </c>
    </row>
    <row r="1004" spans="8:8">
      <c r="H1004" t="s">
        <v>1118</v>
      </c>
    </row>
    <row r="1005" spans="8:8">
      <c r="H1005" t="s">
        <v>1119</v>
      </c>
    </row>
    <row r="1006" spans="8:8">
      <c r="H1006" t="s">
        <v>1120</v>
      </c>
    </row>
    <row r="1007" spans="8:8">
      <c r="H1007" t="s">
        <v>1121</v>
      </c>
    </row>
    <row r="1008" spans="8:8">
      <c r="H1008" t="s">
        <v>1122</v>
      </c>
    </row>
    <row r="1009" spans="8:8">
      <c r="H1009" t="s">
        <v>1123</v>
      </c>
    </row>
    <row r="1010" spans="8:8">
      <c r="H1010" t="s">
        <v>1124</v>
      </c>
    </row>
    <row r="1011" spans="8:8">
      <c r="H1011" t="s">
        <v>1125</v>
      </c>
    </row>
    <row r="1012" spans="8:8">
      <c r="H1012" t="s">
        <v>1126</v>
      </c>
    </row>
    <row r="1013" spans="8:8">
      <c r="H1013" t="s">
        <v>1127</v>
      </c>
    </row>
    <row r="1014" spans="8:8">
      <c r="H1014" t="s">
        <v>1128</v>
      </c>
    </row>
    <row r="1015" spans="8:8">
      <c r="H1015" t="s">
        <v>1129</v>
      </c>
    </row>
    <row r="1016" spans="8:8">
      <c r="H1016" t="s">
        <v>1130</v>
      </c>
    </row>
    <row r="1017" spans="8:8">
      <c r="H1017" t="s">
        <v>1131</v>
      </c>
    </row>
    <row r="1018" spans="8:8">
      <c r="H1018" t="s">
        <v>1132</v>
      </c>
    </row>
    <row r="1019" spans="8:8">
      <c r="H1019" t="s">
        <v>1133</v>
      </c>
    </row>
    <row r="1020" spans="8:8">
      <c r="H1020" t="s">
        <v>1134</v>
      </c>
    </row>
    <row r="1021" spans="8:8">
      <c r="H1021" t="s">
        <v>1135</v>
      </c>
    </row>
    <row r="1022" spans="8:8">
      <c r="H1022" t="s">
        <v>1136</v>
      </c>
    </row>
    <row r="1023" spans="8:8">
      <c r="H1023" t="s">
        <v>1137</v>
      </c>
    </row>
    <row r="1024" spans="8:8">
      <c r="H1024" t="s">
        <v>1138</v>
      </c>
    </row>
    <row r="1025" spans="8:8">
      <c r="H1025" t="s">
        <v>1139</v>
      </c>
    </row>
    <row r="1026" spans="8:8">
      <c r="H1026" t="s">
        <v>1140</v>
      </c>
    </row>
    <row r="1027" spans="8:8">
      <c r="H1027" t="s">
        <v>1141</v>
      </c>
    </row>
    <row r="1028" spans="8:8">
      <c r="H1028" t="s">
        <v>1142</v>
      </c>
    </row>
    <row r="1029" spans="8:8">
      <c r="H1029" t="s">
        <v>1143</v>
      </c>
    </row>
    <row r="1030" spans="8:8">
      <c r="H1030" t="s">
        <v>1144</v>
      </c>
    </row>
    <row r="1031" spans="8:8">
      <c r="H1031" t="s">
        <v>1145</v>
      </c>
    </row>
    <row r="1032" spans="8:8">
      <c r="H1032" t="s">
        <v>1146</v>
      </c>
    </row>
    <row r="1033" spans="8:8">
      <c r="H1033" t="s">
        <v>1147</v>
      </c>
    </row>
    <row r="1034" spans="8:8">
      <c r="H1034" t="s">
        <v>1148</v>
      </c>
    </row>
    <row r="1035" spans="8:8">
      <c r="H1035" t="s">
        <v>1149</v>
      </c>
    </row>
    <row r="1036" spans="8:8">
      <c r="H1036" t="s">
        <v>1150</v>
      </c>
    </row>
    <row r="1037" spans="8:8">
      <c r="H1037" t="s">
        <v>1151</v>
      </c>
    </row>
    <row r="1038" spans="8:8">
      <c r="H1038" t="s">
        <v>1152</v>
      </c>
    </row>
    <row r="1039" spans="8:8">
      <c r="H1039" t="s">
        <v>1153</v>
      </c>
    </row>
    <row r="1040" spans="8:8">
      <c r="H1040" t="s">
        <v>1154</v>
      </c>
    </row>
    <row r="1041" spans="8:8">
      <c r="H1041" t="s">
        <v>1155</v>
      </c>
    </row>
    <row r="1042" spans="8:8">
      <c r="H1042" t="s">
        <v>1156</v>
      </c>
    </row>
    <row r="1043" spans="8:8">
      <c r="H1043" t="s">
        <v>1157</v>
      </c>
    </row>
    <row r="1044" spans="8:8">
      <c r="H1044" t="s">
        <v>1158</v>
      </c>
    </row>
    <row r="1045" spans="8:8">
      <c r="H1045" t="s">
        <v>1159</v>
      </c>
    </row>
    <row r="1046" spans="8:8">
      <c r="H1046" t="s">
        <v>1160</v>
      </c>
    </row>
    <row r="1047" spans="8:8">
      <c r="H1047" t="s">
        <v>1161</v>
      </c>
    </row>
    <row r="1048" spans="8:8">
      <c r="H1048" t="s">
        <v>1162</v>
      </c>
    </row>
    <row r="1049" spans="8:8">
      <c r="H1049" t="s">
        <v>1163</v>
      </c>
    </row>
    <row r="1050" spans="8:8">
      <c r="H1050" t="s">
        <v>1164</v>
      </c>
    </row>
    <row r="1051" spans="8:8">
      <c r="H1051" t="s">
        <v>1165</v>
      </c>
    </row>
    <row r="1052" spans="8:8">
      <c r="H1052" t="s">
        <v>1166</v>
      </c>
    </row>
    <row r="1053" spans="8:8">
      <c r="H1053" t="s">
        <v>1167</v>
      </c>
    </row>
    <row r="1054" spans="8:8">
      <c r="H1054" t="s">
        <v>1168</v>
      </c>
    </row>
    <row r="1055" spans="8:8">
      <c r="H1055" t="s">
        <v>1169</v>
      </c>
    </row>
    <row r="1056" spans="8:8">
      <c r="H1056" t="s">
        <v>1170</v>
      </c>
    </row>
    <row r="1057" spans="8:8">
      <c r="H1057" t="s">
        <v>1171</v>
      </c>
    </row>
    <row r="1058" spans="8:8">
      <c r="H1058" t="s">
        <v>1172</v>
      </c>
    </row>
    <row r="1059" spans="8:8">
      <c r="H1059" t="s">
        <v>1173</v>
      </c>
    </row>
    <row r="1060" spans="8:8">
      <c r="H1060" t="s">
        <v>1174</v>
      </c>
    </row>
    <row r="1061" spans="8:8">
      <c r="H1061" t="s">
        <v>1175</v>
      </c>
    </row>
    <row r="1062" spans="8:8">
      <c r="H1062" t="s">
        <v>1176</v>
      </c>
    </row>
    <row r="1063" spans="8:8">
      <c r="H1063" t="s">
        <v>1177</v>
      </c>
    </row>
    <row r="1064" spans="8:8">
      <c r="H1064" t="s">
        <v>1178</v>
      </c>
    </row>
    <row r="1065" spans="8:8">
      <c r="H1065" t="s">
        <v>1179</v>
      </c>
    </row>
    <row r="1066" spans="8:8">
      <c r="H1066" t="s">
        <v>1180</v>
      </c>
    </row>
    <row r="1067" spans="8:8">
      <c r="H1067" t="s">
        <v>1181</v>
      </c>
    </row>
    <row r="1068" spans="8:8">
      <c r="H1068" t="s">
        <v>1182</v>
      </c>
    </row>
    <row r="1069" spans="8:8">
      <c r="H1069" t="s">
        <v>1183</v>
      </c>
    </row>
    <row r="1070" spans="8:8">
      <c r="H1070" t="s">
        <v>1184</v>
      </c>
    </row>
    <row r="1071" spans="8:8">
      <c r="H1071" t="s">
        <v>1185</v>
      </c>
    </row>
    <row r="1072" spans="8:8">
      <c r="H1072" t="s">
        <v>1186</v>
      </c>
    </row>
    <row r="1073" spans="8:8">
      <c r="H1073" t="s">
        <v>1187</v>
      </c>
    </row>
    <row r="1074" spans="8:8">
      <c r="H1074" t="s">
        <v>1188</v>
      </c>
    </row>
    <row r="1075" spans="8:8">
      <c r="H1075" t="s">
        <v>1189</v>
      </c>
    </row>
    <row r="1076" spans="8:8">
      <c r="H1076" t="s">
        <v>1190</v>
      </c>
    </row>
    <row r="1077" spans="8:8">
      <c r="H1077" t="s">
        <v>1191</v>
      </c>
    </row>
    <row r="1078" spans="8:8">
      <c r="H1078" t="s">
        <v>1192</v>
      </c>
    </row>
    <row r="1079" spans="8:8">
      <c r="H1079" t="s">
        <v>1193</v>
      </c>
    </row>
    <row r="1080" spans="8:8">
      <c r="H1080" t="s">
        <v>1194</v>
      </c>
    </row>
    <row r="1081" spans="8:8">
      <c r="H1081" t="s">
        <v>1195</v>
      </c>
    </row>
    <row r="1082" spans="8:8">
      <c r="H1082" t="s">
        <v>1196</v>
      </c>
    </row>
    <row r="1083" spans="8:8">
      <c r="H1083" t="s">
        <v>1197</v>
      </c>
    </row>
    <row r="1084" spans="8:8">
      <c r="H1084" t="s">
        <v>1198</v>
      </c>
    </row>
    <row r="1085" spans="8:8">
      <c r="H1085" t="s">
        <v>1199</v>
      </c>
    </row>
    <row r="1086" spans="8:8">
      <c r="H1086" t="s">
        <v>1200</v>
      </c>
    </row>
    <row r="1087" spans="8:8">
      <c r="H1087" t="s">
        <v>1201</v>
      </c>
    </row>
    <row r="1088" spans="8:8">
      <c r="H1088" t="s">
        <v>1202</v>
      </c>
    </row>
    <row r="1089" spans="8:8">
      <c r="H1089" t="s">
        <v>1203</v>
      </c>
    </row>
    <row r="1090" spans="8:8">
      <c r="H1090" t="s">
        <v>1204</v>
      </c>
    </row>
    <row r="1091" spans="8:8">
      <c r="H1091" t="s">
        <v>1205</v>
      </c>
    </row>
    <row r="1092" spans="8:8">
      <c r="H1092" t="s">
        <v>1206</v>
      </c>
    </row>
    <row r="1093" spans="8:8">
      <c r="H1093" t="s">
        <v>1207</v>
      </c>
    </row>
    <row r="1094" spans="8:8">
      <c r="H1094" t="s">
        <v>1208</v>
      </c>
    </row>
    <row r="1095" spans="8:8">
      <c r="H1095" t="s">
        <v>1209</v>
      </c>
    </row>
    <row r="1096" spans="8:8">
      <c r="H1096" t="s">
        <v>1210</v>
      </c>
    </row>
    <row r="1097" spans="8:8">
      <c r="H1097" t="s">
        <v>1211</v>
      </c>
    </row>
    <row r="1098" spans="8:8">
      <c r="H1098" t="s">
        <v>1212</v>
      </c>
    </row>
    <row r="1099" spans="8:8">
      <c r="H1099" t="s">
        <v>1213</v>
      </c>
    </row>
    <row r="1100" spans="8:8">
      <c r="H1100" t="s">
        <v>1214</v>
      </c>
    </row>
    <row r="1101" spans="8:8">
      <c r="H1101" t="s">
        <v>1215</v>
      </c>
    </row>
    <row r="1102" spans="8:8">
      <c r="H1102" t="s">
        <v>1216</v>
      </c>
    </row>
    <row r="1103" spans="8:8">
      <c r="H1103" t="s">
        <v>1217</v>
      </c>
    </row>
    <row r="1104" spans="8:8">
      <c r="H1104" t="s">
        <v>1218</v>
      </c>
    </row>
    <row r="1105" spans="8:8">
      <c r="H1105" t="s">
        <v>1219</v>
      </c>
    </row>
    <row r="1106" spans="8:8">
      <c r="H1106" t="s">
        <v>1220</v>
      </c>
    </row>
    <row r="1107" spans="8:8">
      <c r="H1107" t="s">
        <v>1221</v>
      </c>
    </row>
    <row r="1108" spans="8:8">
      <c r="H1108" t="s">
        <v>1222</v>
      </c>
    </row>
    <row r="1109" spans="8:8">
      <c r="H1109" t="s">
        <v>1223</v>
      </c>
    </row>
    <row r="1110" spans="8:8">
      <c r="H1110" t="s">
        <v>1224</v>
      </c>
    </row>
    <row r="1111" spans="8:8">
      <c r="H1111" t="s">
        <v>1225</v>
      </c>
    </row>
    <row r="1112" spans="8:8">
      <c r="H1112" t="s">
        <v>1226</v>
      </c>
    </row>
    <row r="1113" spans="8:8">
      <c r="H1113" t="s">
        <v>1227</v>
      </c>
    </row>
    <row r="1114" spans="8:8">
      <c r="H1114" t="s">
        <v>1228</v>
      </c>
    </row>
    <row r="1115" spans="8:8">
      <c r="H1115" t="s">
        <v>1229</v>
      </c>
    </row>
    <row r="1116" spans="8:8">
      <c r="H1116" t="s">
        <v>1230</v>
      </c>
    </row>
    <row r="1117" spans="8:8">
      <c r="H1117" t="s">
        <v>1231</v>
      </c>
    </row>
    <row r="1118" spans="8:8">
      <c r="H1118" t="s">
        <v>1232</v>
      </c>
    </row>
    <row r="1119" spans="8:8">
      <c r="H1119" t="s">
        <v>1233</v>
      </c>
    </row>
    <row r="1120" spans="8:8">
      <c r="H1120" t="s">
        <v>1234</v>
      </c>
    </row>
    <row r="1121" spans="8:8">
      <c r="H1121" t="s">
        <v>1235</v>
      </c>
    </row>
    <row r="1122" spans="8:8">
      <c r="H1122" t="s">
        <v>1236</v>
      </c>
    </row>
    <row r="1123" spans="8:8">
      <c r="H1123" t="s">
        <v>1237</v>
      </c>
    </row>
    <row r="1124" spans="8:8">
      <c r="H1124" t="s">
        <v>1238</v>
      </c>
    </row>
    <row r="1125" spans="8:8">
      <c r="H1125" t="s">
        <v>1239</v>
      </c>
    </row>
    <row r="1126" spans="8:8">
      <c r="H1126" t="s">
        <v>1240</v>
      </c>
    </row>
    <row r="1127" spans="8:8">
      <c r="H1127" t="s">
        <v>1241</v>
      </c>
    </row>
    <row r="1128" spans="8:8">
      <c r="H1128" t="s">
        <v>1242</v>
      </c>
    </row>
    <row r="1129" spans="8:8">
      <c r="H1129" t="s">
        <v>1243</v>
      </c>
    </row>
    <row r="1130" spans="8:8">
      <c r="H1130" t="s">
        <v>1244</v>
      </c>
    </row>
    <row r="1131" spans="8:8">
      <c r="H1131" t="s">
        <v>1245</v>
      </c>
    </row>
    <row r="1132" spans="8:8">
      <c r="H1132" t="s">
        <v>1246</v>
      </c>
    </row>
    <row r="1133" spans="8:8">
      <c r="H1133" t="s">
        <v>1247</v>
      </c>
    </row>
    <row r="1134" spans="8:8">
      <c r="H1134" t="s">
        <v>1248</v>
      </c>
    </row>
    <row r="1135" spans="8:8">
      <c r="H1135" t="s">
        <v>1249</v>
      </c>
    </row>
    <row r="1136" spans="8:8">
      <c r="H1136" t="s">
        <v>1250</v>
      </c>
    </row>
    <row r="1137" spans="8:8">
      <c r="H1137" t="s">
        <v>1251</v>
      </c>
    </row>
    <row r="1138" spans="8:8">
      <c r="H1138" t="s">
        <v>1252</v>
      </c>
    </row>
    <row r="1139" spans="8:8">
      <c r="H1139" t="s">
        <v>1253</v>
      </c>
    </row>
    <row r="1140" spans="8:8">
      <c r="H1140" t="s">
        <v>1254</v>
      </c>
    </row>
    <row r="1141" spans="8:8">
      <c r="H1141" t="s">
        <v>1255</v>
      </c>
    </row>
    <row r="1142" spans="8:8">
      <c r="H1142" t="s">
        <v>1256</v>
      </c>
    </row>
    <row r="1143" spans="8:8">
      <c r="H1143" t="s">
        <v>1257</v>
      </c>
    </row>
    <row r="1144" spans="8:8">
      <c r="H1144" t="s">
        <v>1258</v>
      </c>
    </row>
    <row r="1145" spans="8:8">
      <c r="H1145" t="s">
        <v>1259</v>
      </c>
    </row>
    <row r="1146" spans="8:8">
      <c r="H1146" t="s">
        <v>1260</v>
      </c>
    </row>
    <row r="1147" spans="8:8">
      <c r="H1147" t="s">
        <v>1261</v>
      </c>
    </row>
    <row r="1148" spans="8:8">
      <c r="H1148" t="s">
        <v>1262</v>
      </c>
    </row>
    <row r="1149" spans="8:8">
      <c r="H1149" t="s">
        <v>1263</v>
      </c>
    </row>
    <row r="1150" spans="8:8">
      <c r="H1150" t="s">
        <v>1264</v>
      </c>
    </row>
    <row r="1151" spans="8:8">
      <c r="H1151" t="s">
        <v>1265</v>
      </c>
    </row>
    <row r="1152" spans="8:8">
      <c r="H1152" t="s">
        <v>1266</v>
      </c>
    </row>
    <row r="1153" spans="8:8">
      <c r="H1153" t="s">
        <v>1267</v>
      </c>
    </row>
    <row r="1154" spans="8:8">
      <c r="H1154" t="s">
        <v>1268</v>
      </c>
    </row>
    <row r="1155" spans="8:8">
      <c r="H1155" t="s">
        <v>1269</v>
      </c>
    </row>
    <row r="1156" spans="8:8">
      <c r="H1156" t="s">
        <v>1270</v>
      </c>
    </row>
    <row r="1157" spans="8:8">
      <c r="H1157" t="s">
        <v>1271</v>
      </c>
    </row>
    <row r="1158" spans="8:8">
      <c r="H1158" t="s">
        <v>1272</v>
      </c>
    </row>
    <row r="1159" spans="8:8">
      <c r="H1159" t="s">
        <v>1273</v>
      </c>
    </row>
    <row r="1160" spans="8:8">
      <c r="H1160" t="s">
        <v>1274</v>
      </c>
    </row>
    <row r="1161" spans="8:8">
      <c r="H1161" t="s">
        <v>1275</v>
      </c>
    </row>
    <row r="1162" spans="8:8">
      <c r="H1162" t="s">
        <v>1276</v>
      </c>
    </row>
    <row r="1163" spans="8:8">
      <c r="H1163" t="s">
        <v>1277</v>
      </c>
    </row>
    <row r="1164" spans="8:8">
      <c r="H1164" t="s">
        <v>1278</v>
      </c>
    </row>
    <row r="1165" spans="8:8">
      <c r="H1165" t="s">
        <v>1279</v>
      </c>
    </row>
    <row r="1166" spans="8:8">
      <c r="H1166" t="s">
        <v>1280</v>
      </c>
    </row>
    <row r="1167" spans="8:8">
      <c r="H1167" t="s">
        <v>1281</v>
      </c>
    </row>
    <row r="1168" spans="8:8">
      <c r="H1168" t="s">
        <v>1282</v>
      </c>
    </row>
    <row r="1169" spans="8:8">
      <c r="H1169" t="s">
        <v>1283</v>
      </c>
    </row>
    <row r="1170" spans="8:8">
      <c r="H1170" t="s">
        <v>1284</v>
      </c>
    </row>
    <row r="1171" spans="8:8">
      <c r="H1171" t="s">
        <v>1285</v>
      </c>
    </row>
    <row r="1172" spans="8:8">
      <c r="H1172" t="s">
        <v>1286</v>
      </c>
    </row>
    <row r="1173" spans="8:8">
      <c r="H1173" t="s">
        <v>1287</v>
      </c>
    </row>
    <row r="1174" spans="8:8">
      <c r="H1174" t="s">
        <v>1288</v>
      </c>
    </row>
    <row r="1175" spans="8:8">
      <c r="H1175" t="s">
        <v>1289</v>
      </c>
    </row>
    <row r="1176" spans="8:8">
      <c r="H1176" t="s">
        <v>1290</v>
      </c>
    </row>
    <row r="1177" spans="8:8">
      <c r="H1177" t="s">
        <v>1291</v>
      </c>
    </row>
    <row r="1178" spans="8:8">
      <c r="H1178" t="s">
        <v>1292</v>
      </c>
    </row>
    <row r="1179" spans="8:8">
      <c r="H1179" t="s">
        <v>1293</v>
      </c>
    </row>
    <row r="1180" spans="8:8">
      <c r="H1180" t="s">
        <v>1294</v>
      </c>
    </row>
    <row r="1181" spans="8:8">
      <c r="H1181" t="s">
        <v>1295</v>
      </c>
    </row>
    <row r="1182" spans="8:8">
      <c r="H1182" t="s">
        <v>1296</v>
      </c>
    </row>
    <row r="1183" spans="8:8">
      <c r="H1183" t="s">
        <v>1297</v>
      </c>
    </row>
    <row r="1184" spans="8:8">
      <c r="H1184" t="s">
        <v>1298</v>
      </c>
    </row>
    <row r="1185" spans="8:8">
      <c r="H1185" t="s">
        <v>1299</v>
      </c>
    </row>
    <row r="1186" spans="8:8">
      <c r="H1186" t="s">
        <v>1300</v>
      </c>
    </row>
    <row r="1187" spans="8:8">
      <c r="H1187" t="s">
        <v>1301</v>
      </c>
    </row>
    <row r="1188" spans="8:8">
      <c r="H1188" t="s">
        <v>1302</v>
      </c>
    </row>
    <row r="1189" spans="8:8">
      <c r="H1189" t="s">
        <v>1303</v>
      </c>
    </row>
    <row r="1190" spans="8:8">
      <c r="H1190" t="s">
        <v>1304</v>
      </c>
    </row>
    <row r="1191" spans="8:8">
      <c r="H1191" t="s">
        <v>1305</v>
      </c>
    </row>
    <row r="1192" spans="8:8">
      <c r="H1192" t="s">
        <v>1306</v>
      </c>
    </row>
    <row r="1193" spans="8:8">
      <c r="H1193" t="s">
        <v>1307</v>
      </c>
    </row>
    <row r="1194" spans="8:8">
      <c r="H1194" t="s">
        <v>1308</v>
      </c>
    </row>
    <row r="1195" spans="8:8">
      <c r="H1195" t="s">
        <v>1309</v>
      </c>
    </row>
    <row r="1196" spans="8:8">
      <c r="H1196" t="s">
        <v>1310</v>
      </c>
    </row>
    <row r="1197" spans="8:8">
      <c r="H1197" t="s">
        <v>1311</v>
      </c>
    </row>
    <row r="1198" spans="8:8">
      <c r="H1198" t="s">
        <v>1312</v>
      </c>
    </row>
    <row r="1199" spans="8:8">
      <c r="H1199" t="s">
        <v>1313</v>
      </c>
    </row>
    <row r="1200" spans="8:8">
      <c r="H1200" t="s">
        <v>1314</v>
      </c>
    </row>
    <row r="1201" spans="8:8">
      <c r="H1201" t="s">
        <v>1315</v>
      </c>
    </row>
    <row r="1202" spans="8:8">
      <c r="H1202" t="s">
        <v>1316</v>
      </c>
    </row>
    <row r="1203" spans="8:8">
      <c r="H1203" t="s">
        <v>1317</v>
      </c>
    </row>
    <row r="1204" spans="8:8">
      <c r="H1204" t="s">
        <v>1318</v>
      </c>
    </row>
    <row r="1205" spans="8:8">
      <c r="H1205" t="s">
        <v>1319</v>
      </c>
    </row>
    <row r="1206" spans="8:8">
      <c r="H1206" t="s">
        <v>1320</v>
      </c>
    </row>
    <row r="1207" spans="8:8">
      <c r="H1207" t="s">
        <v>1321</v>
      </c>
    </row>
    <row r="1208" spans="8:8">
      <c r="H1208" t="s">
        <v>1322</v>
      </c>
    </row>
    <row r="1209" spans="8:8">
      <c r="H1209" t="s">
        <v>1323</v>
      </c>
    </row>
    <row r="1210" spans="8:8">
      <c r="H1210" t="s">
        <v>1324</v>
      </c>
    </row>
    <row r="1211" spans="8:8">
      <c r="H1211" t="s">
        <v>1325</v>
      </c>
    </row>
    <row r="1212" spans="8:8">
      <c r="H1212" t="s">
        <v>1326</v>
      </c>
    </row>
    <row r="1213" spans="8:8">
      <c r="H1213" t="s">
        <v>1327</v>
      </c>
    </row>
    <row r="1214" spans="8:8">
      <c r="H1214" t="s">
        <v>1328</v>
      </c>
    </row>
    <row r="1215" spans="8:8">
      <c r="H1215" t="s">
        <v>1329</v>
      </c>
    </row>
    <row r="1216" spans="8:8">
      <c r="H1216" t="s">
        <v>1330</v>
      </c>
    </row>
    <row r="1217" spans="8:8">
      <c r="H1217" t="s">
        <v>1331</v>
      </c>
    </row>
    <row r="1218" spans="8:8">
      <c r="H1218" t="s">
        <v>1332</v>
      </c>
    </row>
    <row r="1219" spans="8:8">
      <c r="H1219" t="s">
        <v>1333</v>
      </c>
    </row>
    <row r="1220" spans="8:8">
      <c r="H1220" t="s">
        <v>1334</v>
      </c>
    </row>
    <row r="1221" spans="8:8">
      <c r="H1221" t="s">
        <v>1335</v>
      </c>
    </row>
    <row r="1222" spans="8:8">
      <c r="H1222" t="s">
        <v>1336</v>
      </c>
    </row>
    <row r="1223" spans="8:8">
      <c r="H1223" t="s">
        <v>1337</v>
      </c>
    </row>
    <row r="1224" spans="8:8">
      <c r="H1224" t="s">
        <v>1338</v>
      </c>
    </row>
    <row r="1225" spans="8:8">
      <c r="H1225" t="s">
        <v>1339</v>
      </c>
    </row>
    <row r="1226" spans="8:8">
      <c r="H1226" t="s">
        <v>1340</v>
      </c>
    </row>
    <row r="1227" spans="8:8">
      <c r="H1227" t="s">
        <v>1341</v>
      </c>
    </row>
    <row r="1228" spans="8:8">
      <c r="H1228" t="s">
        <v>1342</v>
      </c>
    </row>
    <row r="1229" spans="8:8">
      <c r="H1229" t="s">
        <v>1343</v>
      </c>
    </row>
    <row r="1230" spans="8:8">
      <c r="H1230" t="s">
        <v>1344</v>
      </c>
    </row>
    <row r="1231" spans="8:8">
      <c r="H1231" t="s">
        <v>1345</v>
      </c>
    </row>
    <row r="1232" spans="8:8">
      <c r="H1232" t="s">
        <v>1346</v>
      </c>
    </row>
    <row r="1233" spans="8:8">
      <c r="H1233" t="s">
        <v>1347</v>
      </c>
    </row>
    <row r="1234" spans="8:8">
      <c r="H1234" t="s">
        <v>1348</v>
      </c>
    </row>
    <row r="1235" spans="8:8">
      <c r="H1235" t="s">
        <v>1349</v>
      </c>
    </row>
    <row r="1236" spans="8:8">
      <c r="H1236" t="s">
        <v>1350</v>
      </c>
    </row>
    <row r="1237" spans="8:8">
      <c r="H1237" t="s">
        <v>1351</v>
      </c>
    </row>
    <row r="1238" spans="8:8">
      <c r="H1238" t="s">
        <v>1352</v>
      </c>
    </row>
    <row r="1239" spans="8:8">
      <c r="H1239" t="s">
        <v>1353</v>
      </c>
    </row>
    <row r="1240" spans="8:8">
      <c r="H1240" t="s">
        <v>1354</v>
      </c>
    </row>
    <row r="1241" spans="8:8">
      <c r="H1241" t="s">
        <v>1355</v>
      </c>
    </row>
    <row r="1242" spans="8:8">
      <c r="H1242" t="s">
        <v>1356</v>
      </c>
    </row>
    <row r="1243" spans="8:8">
      <c r="H1243" t="s">
        <v>1357</v>
      </c>
    </row>
    <row r="1244" spans="8:8">
      <c r="H1244" t="s">
        <v>1358</v>
      </c>
    </row>
    <row r="1245" spans="8:8">
      <c r="H1245" t="s">
        <v>1359</v>
      </c>
    </row>
    <row r="1246" spans="8:8">
      <c r="H1246" t="s">
        <v>1360</v>
      </c>
    </row>
    <row r="1247" spans="8:8">
      <c r="H1247" t="s">
        <v>1361</v>
      </c>
    </row>
    <row r="1248" spans="8:8">
      <c r="H1248" t="s">
        <v>1362</v>
      </c>
    </row>
    <row r="1249" spans="8:8">
      <c r="H1249" t="s">
        <v>1363</v>
      </c>
    </row>
    <row r="1250" spans="8:8">
      <c r="H1250" t="s">
        <v>1364</v>
      </c>
    </row>
    <row r="1251" spans="8:8">
      <c r="H1251" t="s">
        <v>1365</v>
      </c>
    </row>
    <row r="1252" spans="8:8">
      <c r="H1252" t="s">
        <v>1366</v>
      </c>
    </row>
    <row r="1253" spans="8:8">
      <c r="H1253" t="s">
        <v>1367</v>
      </c>
    </row>
    <row r="1254" spans="8:8">
      <c r="H1254" t="s">
        <v>1368</v>
      </c>
    </row>
    <row r="1255" spans="8:8">
      <c r="H1255" t="s">
        <v>1369</v>
      </c>
    </row>
    <row r="1256" spans="8:8">
      <c r="H1256" t="s">
        <v>1370</v>
      </c>
    </row>
    <row r="1257" spans="8:8">
      <c r="H1257" t="s">
        <v>1371</v>
      </c>
    </row>
    <row r="1258" spans="8:8">
      <c r="H1258" t="s">
        <v>1372</v>
      </c>
    </row>
    <row r="1259" spans="8:8">
      <c r="H1259" t="s">
        <v>1373</v>
      </c>
    </row>
    <row r="1260" spans="8:8">
      <c r="H1260" t="s">
        <v>1374</v>
      </c>
    </row>
    <row r="1261" spans="8:8">
      <c r="H1261" t="s">
        <v>1375</v>
      </c>
    </row>
    <row r="1262" spans="8:8">
      <c r="H1262" t="s">
        <v>1376</v>
      </c>
    </row>
    <row r="1263" spans="8:8">
      <c r="H1263" t="s">
        <v>1377</v>
      </c>
    </row>
    <row r="1264" spans="8:8">
      <c r="H1264" t="s">
        <v>1378</v>
      </c>
    </row>
    <row r="1265" spans="8:8">
      <c r="H1265" t="s">
        <v>1379</v>
      </c>
    </row>
    <row r="1266" spans="8:8">
      <c r="H1266" t="s">
        <v>1380</v>
      </c>
    </row>
    <row r="1267" spans="8:8">
      <c r="H1267" t="s">
        <v>1381</v>
      </c>
    </row>
    <row r="1268" spans="8:8">
      <c r="H1268" t="s">
        <v>1382</v>
      </c>
    </row>
    <row r="1269" spans="8:8">
      <c r="H1269" t="s">
        <v>1383</v>
      </c>
    </row>
    <row r="1270" spans="8:8">
      <c r="H1270" t="s">
        <v>1384</v>
      </c>
    </row>
    <row r="1271" spans="8:8">
      <c r="H1271" t="s">
        <v>1385</v>
      </c>
    </row>
    <row r="1272" spans="8:8">
      <c r="H1272" t="s">
        <v>1386</v>
      </c>
    </row>
    <row r="1273" spans="8:8">
      <c r="H1273" t="s">
        <v>1387</v>
      </c>
    </row>
    <row r="1274" spans="8:8">
      <c r="H1274" t="s">
        <v>1388</v>
      </c>
    </row>
    <row r="1275" spans="8:8">
      <c r="H1275" t="s">
        <v>1389</v>
      </c>
    </row>
    <row r="1276" spans="8:8">
      <c r="H1276" t="s">
        <v>1390</v>
      </c>
    </row>
    <row r="1277" spans="8:8">
      <c r="H1277" t="s">
        <v>1391</v>
      </c>
    </row>
    <row r="1278" spans="8:8">
      <c r="H1278" t="s">
        <v>1392</v>
      </c>
    </row>
    <row r="1279" spans="8:8">
      <c r="H1279" t="s">
        <v>1393</v>
      </c>
    </row>
    <row r="1280" spans="8:8">
      <c r="H1280" t="s">
        <v>1394</v>
      </c>
    </row>
    <row r="1281" spans="8:8">
      <c r="H1281" t="s">
        <v>1395</v>
      </c>
    </row>
    <row r="1282" spans="8:8">
      <c r="H1282" t="s">
        <v>1396</v>
      </c>
    </row>
    <row r="1283" spans="8:8">
      <c r="H1283" t="s">
        <v>1397</v>
      </c>
    </row>
    <row r="1284" spans="8:8">
      <c r="H1284" t="s">
        <v>1398</v>
      </c>
    </row>
    <row r="1285" spans="8:8">
      <c r="H1285" t="s">
        <v>1399</v>
      </c>
    </row>
    <row r="1286" spans="8:8">
      <c r="H1286" t="s">
        <v>1400</v>
      </c>
    </row>
    <row r="1287" spans="8:8">
      <c r="H1287" t="s">
        <v>1401</v>
      </c>
    </row>
    <row r="1288" spans="8:8">
      <c r="H1288" t="s">
        <v>1402</v>
      </c>
    </row>
    <row r="1289" spans="8:8">
      <c r="H1289" t="s">
        <v>1403</v>
      </c>
    </row>
    <row r="1290" spans="8:8">
      <c r="H1290" t="s">
        <v>1404</v>
      </c>
    </row>
    <row r="1291" spans="8:8">
      <c r="H1291" t="s">
        <v>1405</v>
      </c>
    </row>
    <row r="1292" spans="8:8">
      <c r="H1292" t="s">
        <v>1406</v>
      </c>
    </row>
    <row r="1293" spans="8:8">
      <c r="H1293" t="s">
        <v>1407</v>
      </c>
    </row>
    <row r="1294" spans="8:8">
      <c r="H1294" t="s">
        <v>1408</v>
      </c>
    </row>
    <row r="1295" spans="8:8">
      <c r="H1295" t="s">
        <v>1409</v>
      </c>
    </row>
    <row r="1296" spans="8:8">
      <c r="H1296" t="s">
        <v>1410</v>
      </c>
    </row>
    <row r="1297" spans="8:8">
      <c r="H1297" t="s">
        <v>1411</v>
      </c>
    </row>
    <row r="1298" spans="8:8">
      <c r="H1298" t="s">
        <v>1412</v>
      </c>
    </row>
    <row r="1299" spans="8:8">
      <c r="H1299" t="s">
        <v>1413</v>
      </c>
    </row>
    <row r="1300" spans="8:8">
      <c r="H1300" t="s">
        <v>1414</v>
      </c>
    </row>
    <row r="1301" spans="8:8">
      <c r="H1301" t="s">
        <v>1415</v>
      </c>
    </row>
    <row r="1302" spans="8:8">
      <c r="H1302" t="s">
        <v>1416</v>
      </c>
    </row>
    <row r="1303" spans="8:8">
      <c r="H1303" t="s">
        <v>1417</v>
      </c>
    </row>
    <row r="1304" spans="8:8">
      <c r="H1304" t="s">
        <v>1418</v>
      </c>
    </row>
    <row r="1305" spans="8:8">
      <c r="H1305" t="s">
        <v>1419</v>
      </c>
    </row>
    <row r="1306" spans="8:8">
      <c r="H1306" t="s">
        <v>1420</v>
      </c>
    </row>
    <row r="1307" spans="8:8">
      <c r="H1307" t="s">
        <v>1421</v>
      </c>
    </row>
    <row r="1308" spans="8:8">
      <c r="H1308" t="s">
        <v>1422</v>
      </c>
    </row>
    <row r="1309" spans="8:8">
      <c r="H1309" t="s">
        <v>1423</v>
      </c>
    </row>
    <row r="1310" spans="8:8">
      <c r="H1310" t="s">
        <v>1424</v>
      </c>
    </row>
    <row r="1311" spans="8:8">
      <c r="H1311" t="s">
        <v>1425</v>
      </c>
    </row>
    <row r="1312" spans="8:8">
      <c r="H1312" t="s">
        <v>1426</v>
      </c>
    </row>
    <row r="1313" spans="8:8">
      <c r="H1313" t="s">
        <v>1427</v>
      </c>
    </row>
    <row r="1314" spans="8:8">
      <c r="H1314" t="s">
        <v>1428</v>
      </c>
    </row>
    <row r="1315" spans="8:8">
      <c r="H1315" t="s">
        <v>1429</v>
      </c>
    </row>
    <row r="1316" spans="8:8">
      <c r="H1316" t="s">
        <v>1430</v>
      </c>
    </row>
    <row r="1317" spans="8:8">
      <c r="H1317" t="s">
        <v>1431</v>
      </c>
    </row>
    <row r="1318" spans="8:8">
      <c r="H1318" t="s">
        <v>1432</v>
      </c>
    </row>
    <row r="1319" spans="8:8">
      <c r="H1319" t="s">
        <v>1433</v>
      </c>
    </row>
    <row r="1320" spans="8:8">
      <c r="H1320" t="s">
        <v>1434</v>
      </c>
    </row>
    <row r="1321" spans="8:8">
      <c r="H1321" t="s">
        <v>1435</v>
      </c>
    </row>
    <row r="1322" spans="8:8">
      <c r="H1322" t="s">
        <v>1436</v>
      </c>
    </row>
    <row r="1323" spans="8:8">
      <c r="H1323" t="s">
        <v>1437</v>
      </c>
    </row>
    <row r="1324" spans="8:8">
      <c r="H1324" t="s">
        <v>1438</v>
      </c>
    </row>
    <row r="1325" spans="8:8">
      <c r="H1325" t="s">
        <v>1439</v>
      </c>
    </row>
    <row r="1326" spans="8:8">
      <c r="H1326" t="s">
        <v>1440</v>
      </c>
    </row>
    <row r="1327" spans="8:8">
      <c r="H1327" t="s">
        <v>1441</v>
      </c>
    </row>
    <row r="1328" spans="8:8">
      <c r="H1328" t="s">
        <v>1442</v>
      </c>
    </row>
    <row r="1329" spans="8:8">
      <c r="H1329" t="s">
        <v>1443</v>
      </c>
    </row>
    <row r="1330" spans="8:8">
      <c r="H1330" t="s">
        <v>1444</v>
      </c>
    </row>
    <row r="1331" spans="8:8">
      <c r="H1331" t="s">
        <v>1445</v>
      </c>
    </row>
    <row r="1332" spans="8:8">
      <c r="H1332" t="s">
        <v>1446</v>
      </c>
    </row>
    <row r="1333" spans="8:8">
      <c r="H1333" t="s">
        <v>1447</v>
      </c>
    </row>
    <row r="1334" spans="8:8">
      <c r="H1334" t="s">
        <v>1448</v>
      </c>
    </row>
    <row r="1335" spans="8:8">
      <c r="H1335" t="s">
        <v>1449</v>
      </c>
    </row>
    <row r="1336" spans="8:8">
      <c r="H1336" t="s">
        <v>1450</v>
      </c>
    </row>
    <row r="1337" spans="8:8">
      <c r="H1337" t="s">
        <v>1451</v>
      </c>
    </row>
    <row r="1338" spans="8:8">
      <c r="H1338" t="s">
        <v>1452</v>
      </c>
    </row>
    <row r="1339" spans="8:8">
      <c r="H1339" t="s">
        <v>1453</v>
      </c>
    </row>
    <row r="1340" spans="8:8">
      <c r="H1340" t="s">
        <v>1454</v>
      </c>
    </row>
    <row r="1341" spans="8:8">
      <c r="H1341" t="s">
        <v>1455</v>
      </c>
    </row>
    <row r="1342" spans="8:8">
      <c r="H1342" t="s">
        <v>1456</v>
      </c>
    </row>
    <row r="1343" spans="8:8">
      <c r="H1343" t="s">
        <v>1457</v>
      </c>
    </row>
    <row r="1344" spans="8:8">
      <c r="H1344" t="s">
        <v>1458</v>
      </c>
    </row>
    <row r="1345" spans="8:8">
      <c r="H1345" t="s">
        <v>1459</v>
      </c>
    </row>
    <row r="1346" spans="8:8">
      <c r="H1346" t="s">
        <v>1460</v>
      </c>
    </row>
    <row r="1347" spans="8:8">
      <c r="H1347" t="s">
        <v>1461</v>
      </c>
    </row>
    <row r="1348" spans="8:8">
      <c r="H1348" t="s">
        <v>1462</v>
      </c>
    </row>
    <row r="1349" spans="8:8">
      <c r="H1349" t="s">
        <v>1463</v>
      </c>
    </row>
    <row r="1350" spans="8:8">
      <c r="H1350" t="s">
        <v>1464</v>
      </c>
    </row>
    <row r="1351" spans="8:8">
      <c r="H1351" t="s">
        <v>1465</v>
      </c>
    </row>
    <row r="1352" spans="8:8">
      <c r="H1352" t="s">
        <v>1466</v>
      </c>
    </row>
    <row r="1353" spans="8:8">
      <c r="H1353" t="s">
        <v>1467</v>
      </c>
    </row>
    <row r="1354" spans="8:8">
      <c r="H1354" t="s">
        <v>1468</v>
      </c>
    </row>
    <row r="1355" spans="8:8">
      <c r="H1355" t="s">
        <v>1469</v>
      </c>
    </row>
    <row r="1356" spans="8:8">
      <c r="H1356" t="s">
        <v>1470</v>
      </c>
    </row>
    <row r="1357" spans="8:8">
      <c r="H1357" t="s">
        <v>1471</v>
      </c>
    </row>
    <row r="1358" spans="8:8">
      <c r="H1358" t="s">
        <v>1472</v>
      </c>
    </row>
    <row r="1359" spans="8:8">
      <c r="H1359" t="s">
        <v>1473</v>
      </c>
    </row>
    <row r="1360" spans="8:8">
      <c r="H1360" t="s">
        <v>1474</v>
      </c>
    </row>
    <row r="1361" spans="8:8">
      <c r="H1361" t="s">
        <v>1475</v>
      </c>
    </row>
    <row r="1362" spans="8:8">
      <c r="H1362" t="s">
        <v>1476</v>
      </c>
    </row>
    <row r="1363" spans="8:8">
      <c r="H1363" t="s">
        <v>1477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R2055 - Aquisição Prod Rural</vt:lpstr>
      <vt:lpstr>dados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Nícolas Almeida</dc:creator>
  <cp:lastModifiedBy>Sthepson M A Lira</cp:lastModifiedBy>
  <dcterms:created xsi:type="dcterms:W3CDTF">2024-04-05T22:05:51Z</dcterms:created>
  <dcterms:modified xsi:type="dcterms:W3CDTF">2026-05-15T21:30:28Z</dcterms:modified>
</cp:coreProperties>
</file>